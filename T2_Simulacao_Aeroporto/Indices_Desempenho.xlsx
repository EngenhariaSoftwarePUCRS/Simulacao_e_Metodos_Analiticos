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Atual" sheetId="1" state="visible" r:id="rId1"/>
    <sheet xmlns:r="http://schemas.openxmlformats.org/officeDocument/2006/relationships" name="Modelo Melhoria" sheetId="2" state="visible" r:id="rId2"/>
    <sheet xmlns:r="http://schemas.openxmlformats.org/officeDocument/2006/relationships" name="Compar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305496"/>
      <sz val="12"/>
    </font>
    <font>
      <b val="1"/>
    </font>
    <font>
      <b val="1"/>
      <color rgb="00FFFFFF"/>
    </font>
    <font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/>
    </xf>
    <xf numFmtId="0" fontId="0" fillId="0" borderId="1" pivotButton="0" quotePrefix="0" xfId="0"/>
    <xf numFmtId="164" fontId="0" fillId="2" borderId="1" pivotButton="0" quotePrefix="0" xfId="0"/>
    <xf numFmtId="165" fontId="0" fillId="3" borderId="1" pivotButton="0" quotePrefix="0" xfId="0"/>
    <xf numFmtId="165" fontId="4" fillId="3" borderId="1" pivotButton="0" quotePrefix="0" xfId="0"/>
    <xf numFmtId="0" fontId="6" fillId="0" borderId="0" pivotButton="0" quotePrefix="0" xfId="0"/>
    <xf numFmtId="2" fontId="0" fillId="3" borderId="1" pivotButton="0" quotePrefix="0" xfId="0"/>
    <xf numFmtId="165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2" customWidth="1" min="5" max="5"/>
    <col width="16" customWidth="1" min="6" max="6"/>
  </cols>
  <sheetData>
    <row r="1">
      <c r="A1" s="1" t="inlineStr">
        <is>
          <t>Modelo Atual — Aeroporto (Simulação)</t>
        </is>
      </c>
    </row>
    <row r="2">
      <c r="A2" s="2" t="inlineStr">
        <is>
          <t>Celulas azuis = P(i) obtidas do simulador.  Celulas verdes = calculadas automaticamente pelas formulas.</t>
        </is>
      </c>
    </row>
    <row r="4">
      <c r="A4" s="3" t="inlineStr">
        <is>
          <t>Fila F1  —  G/G/1/40</t>
        </is>
      </c>
    </row>
    <row r="5">
      <c r="A5" s="4" t="inlineStr">
        <is>
          <t>Servidores (c):</t>
        </is>
      </c>
      <c r="B5" s="5" t="n">
        <v>1</v>
      </c>
      <c r="C5" s="4" t="inlineStr">
        <is>
          <t>Capacidade (K):</t>
        </is>
      </c>
      <c r="D5" s="5" t="n">
        <v>40</v>
      </c>
      <c r="E5" s="4" t="inlineStr">
        <is>
          <t>Perdas:</t>
        </is>
      </c>
      <c r="F5" s="5" t="n">
        <v>72527</v>
      </c>
    </row>
    <row r="6">
      <c r="A6" s="4" t="inlineStr">
        <is>
          <t>t_min (min):</t>
        </is>
      </c>
      <c r="B6" s="5" t="n">
        <v>10</v>
      </c>
      <c r="C6" s="4" t="inlineStr">
        <is>
          <t>t_max (min):</t>
        </is>
      </c>
      <c r="D6" s="5" t="n">
        <v>30</v>
      </c>
      <c r="E6" s="4" t="inlineStr">
        <is>
          <t>μ (pac/h):</t>
        </is>
      </c>
      <c r="F6" s="6">
        <f>60/AVERAGE($B$6,$D$6)</f>
        <v/>
      </c>
    </row>
    <row r="8">
      <c r="A8" s="7" t="inlineStr">
        <is>
          <t>Estado (i)</t>
        </is>
      </c>
      <c r="B8" s="7" t="inlineStr">
        <is>
          <t>P(i)  [entrada]</t>
        </is>
      </c>
      <c r="C8" s="7" t="inlineStr">
        <is>
          <t>i · P(i)</t>
        </is>
      </c>
      <c r="D8" s="7" t="inlineStr">
        <is>
          <t>min(i,c)·μ·P(i)</t>
        </is>
      </c>
      <c r="E8" s="7" t="inlineStr">
        <is>
          <t>min(i,c)/c · P(i)</t>
        </is>
      </c>
    </row>
    <row r="9">
      <c r="A9" s="8" t="n">
        <v>0</v>
      </c>
      <c r="B9" s="9" t="n">
        <v>8.592093702056126e-06</v>
      </c>
      <c r="C9" s="10">
        <f>A9*B9</f>
        <v/>
      </c>
      <c r="D9" s="10">
        <f>MIN(A9,$B$5)*$F$6*B9</f>
        <v/>
      </c>
      <c r="E9" s="10">
        <f>MIN(A9,$B$5)/$B$5*B9</f>
        <v/>
      </c>
    </row>
    <row r="10">
      <c r="A10" s="8" t="n">
        <v>1</v>
      </c>
      <c r="B10" s="9" t="n">
        <v>1.360818277625993e-05</v>
      </c>
      <c r="C10" s="10">
        <f>A10*B10</f>
        <v/>
      </c>
      <c r="D10" s="10">
        <f>MIN(A10,$B$5)*$F$6*B10</f>
        <v/>
      </c>
      <c r="E10" s="10">
        <f>MIN(A10,$B$5)/$B$5*B10</f>
        <v/>
      </c>
    </row>
    <row r="11">
      <c r="A11" s="8" t="n">
        <v>2</v>
      </c>
      <c r="B11" s="9" t="n">
        <v>1.576719217401035e-05</v>
      </c>
      <c r="C11" s="10">
        <f>A11*B11</f>
        <v/>
      </c>
      <c r="D11" s="10">
        <f>MIN(A11,$B$5)*$F$6*B11</f>
        <v/>
      </c>
      <c r="E11" s="10">
        <f>MIN(A11,$B$5)/$B$5*B11</f>
        <v/>
      </c>
    </row>
    <row r="12">
      <c r="A12" s="8" t="n">
        <v>3</v>
      </c>
      <c r="B12" s="9" t="n">
        <v>1.005465069226362e-05</v>
      </c>
      <c r="C12" s="10">
        <f>A12*B12</f>
        <v/>
      </c>
      <c r="D12" s="10">
        <f>MIN(A12,$B$5)*$F$6*B12</f>
        <v/>
      </c>
      <c r="E12" s="10">
        <f>MIN(A12,$B$5)/$B$5*B12</f>
        <v/>
      </c>
    </row>
    <row r="13">
      <c r="A13" s="8" t="n">
        <v>4</v>
      </c>
      <c r="B13" s="9" t="n">
        <v>1.423533955747857e-05</v>
      </c>
      <c r="C13" s="10">
        <f>A13*B13</f>
        <v/>
      </c>
      <c r="D13" s="10">
        <f>MIN(A13,$B$5)*$F$6*B13</f>
        <v/>
      </c>
      <c r="E13" s="10">
        <f>MIN(A13,$B$5)/$B$5*B13</f>
        <v/>
      </c>
    </row>
    <row r="14">
      <c r="A14" s="8" t="n">
        <v>5</v>
      </c>
      <c r="B14" s="9" t="n">
        <v>1.601057649796236e-05</v>
      </c>
      <c r="C14" s="10">
        <f>A14*B14</f>
        <v/>
      </c>
      <c r="D14" s="10">
        <f>MIN(A14,$B$5)*$F$6*B14</f>
        <v/>
      </c>
      <c r="E14" s="10">
        <f>MIN(A14,$B$5)/$B$5*B14</f>
        <v/>
      </c>
    </row>
    <row r="15">
      <c r="A15" s="8" t="n">
        <v>6</v>
      </c>
      <c r="B15" s="9" t="n">
        <v>2.216905740141805e-05</v>
      </c>
      <c r="C15" s="10">
        <f>A15*B15</f>
        <v/>
      </c>
      <c r="D15" s="10">
        <f>MIN(A15,$B$5)*$F$6*B15</f>
        <v/>
      </c>
      <c r="E15" s="10">
        <f>MIN(A15,$B$5)/$B$5*B15</f>
        <v/>
      </c>
    </row>
    <row r="16">
      <c r="A16" s="8" t="n">
        <v>7</v>
      </c>
      <c r="B16" s="9" t="n">
        <v>1.491664949375275e-05</v>
      </c>
      <c r="C16" s="10">
        <f>A16*B16</f>
        <v/>
      </c>
      <c r="D16" s="10">
        <f>MIN(A16,$B$5)*$F$6*B16</f>
        <v/>
      </c>
      <c r="E16" s="10">
        <f>MIN(A16,$B$5)/$B$5*B16</f>
        <v/>
      </c>
    </row>
    <row r="17">
      <c r="A17" s="8" t="n">
        <v>8</v>
      </c>
      <c r="B17" s="9" t="n">
        <v>1.248061258960538e-05</v>
      </c>
      <c r="C17" s="10">
        <f>A17*B17</f>
        <v/>
      </c>
      <c r="D17" s="10">
        <f>MIN(A17,$B$5)*$F$6*B17</f>
        <v/>
      </c>
      <c r="E17" s="10">
        <f>MIN(A17,$B$5)/$B$5*B17</f>
        <v/>
      </c>
    </row>
    <row r="18">
      <c r="A18" s="8" t="n">
        <v>9</v>
      </c>
      <c r="B18" s="9" t="n">
        <v>1.078455478897033e-05</v>
      </c>
      <c r="C18" s="10">
        <f>A18*B18</f>
        <v/>
      </c>
      <c r="D18" s="10">
        <f>MIN(A18,$B$5)*$F$6*B18</f>
        <v/>
      </c>
      <c r="E18" s="10">
        <f>MIN(A18,$B$5)/$B$5*B18</f>
        <v/>
      </c>
    </row>
    <row r="19">
      <c r="A19" s="8" t="n">
        <v>10</v>
      </c>
      <c r="B19" s="9" t="n">
        <v>9.669890877126872e-06</v>
      </c>
      <c r="C19" s="10">
        <f>A19*B19</f>
        <v/>
      </c>
      <c r="D19" s="10">
        <f>MIN(A19,$B$5)*$F$6*B19</f>
        <v/>
      </c>
      <c r="E19" s="10">
        <f>MIN(A19,$B$5)/$B$5*B19</f>
        <v/>
      </c>
    </row>
    <row r="20">
      <c r="A20" s="8" t="n">
        <v>11</v>
      </c>
      <c r="B20" s="9" t="n">
        <v>1.088139901001518e-05</v>
      </c>
      <c r="C20" s="10">
        <f>A20*B20</f>
        <v/>
      </c>
      <c r="D20" s="10">
        <f>MIN(A20,$B$5)*$F$6*B20</f>
        <v/>
      </c>
      <c r="E20" s="10">
        <f>MIN(A20,$B$5)/$B$5*B20</f>
        <v/>
      </c>
    </row>
    <row r="21">
      <c r="A21" s="8" t="n">
        <v>12</v>
      </c>
      <c r="B21" s="9" t="n">
        <v>1.074445265785726e-05</v>
      </c>
      <c r="C21" s="10">
        <f>A21*B21</f>
        <v/>
      </c>
      <c r="D21" s="10">
        <f>MIN(A21,$B$5)*$F$6*B21</f>
        <v/>
      </c>
      <c r="E21" s="10">
        <f>MIN(A21,$B$5)/$B$5*B21</f>
        <v/>
      </c>
    </row>
    <row r="22">
      <c r="A22" s="8" t="n">
        <v>13</v>
      </c>
      <c r="B22" s="9" t="n">
        <v>1.34187906667083e-05</v>
      </c>
      <c r="C22" s="10">
        <f>A22*B22</f>
        <v/>
      </c>
      <c r="D22" s="10">
        <f>MIN(A22,$B$5)*$F$6*B22</f>
        <v/>
      </c>
      <c r="E22" s="10">
        <f>MIN(A22,$B$5)/$B$5*B22</f>
        <v/>
      </c>
    </row>
    <row r="23">
      <c r="A23" s="8" t="n">
        <v>14</v>
      </c>
      <c r="B23" s="9" t="n">
        <v>1.258978362080732e-05</v>
      </c>
      <c r="C23" s="10">
        <f>A23*B23</f>
        <v/>
      </c>
      <c r="D23" s="10">
        <f>MIN(A23,$B$5)*$F$6*B23</f>
        <v/>
      </c>
      <c r="E23" s="10">
        <f>MIN(A23,$B$5)/$B$5*B23</f>
        <v/>
      </c>
    </row>
    <row r="24">
      <c r="A24" s="8" t="n">
        <v>15</v>
      </c>
      <c r="B24" s="9" t="n">
        <v>1.219909377759123e-05</v>
      </c>
      <c r="C24" s="10">
        <f>A24*B24</f>
        <v/>
      </c>
      <c r="D24" s="10">
        <f>MIN(A24,$B$5)*$F$6*B24</f>
        <v/>
      </c>
      <c r="E24" s="10">
        <f>MIN(A24,$B$5)/$B$5*B24</f>
        <v/>
      </c>
    </row>
    <row r="25">
      <c r="A25" s="8" t="n">
        <v>16</v>
      </c>
      <c r="B25" s="9" t="n">
        <v>1.365772051000491e-05</v>
      </c>
      <c r="C25" s="10">
        <f>A25*B25</f>
        <v/>
      </c>
      <c r="D25" s="10">
        <f>MIN(A25,$B$5)*$F$6*B25</f>
        <v/>
      </c>
      <c r="E25" s="10">
        <f>MIN(A25,$B$5)/$B$5*B25</f>
        <v/>
      </c>
    </row>
    <row r="26">
      <c r="A26" s="8" t="n">
        <v>17</v>
      </c>
      <c r="B26" s="9" t="n">
        <v>9.106858933868726e-06</v>
      </c>
      <c r="C26" s="10">
        <f>A26*B26</f>
        <v/>
      </c>
      <c r="D26" s="10">
        <f>MIN(A26,$B$5)*$F$6*B26</f>
        <v/>
      </c>
      <c r="E26" s="10">
        <f>MIN(A26,$B$5)/$B$5*B26</f>
        <v/>
      </c>
    </row>
    <row r="27">
      <c r="A27" s="8" t="n">
        <v>18</v>
      </c>
      <c r="B27" s="9" t="n">
        <v>1.685358651179611e-05</v>
      </c>
      <c r="C27" s="10">
        <f>A27*B27</f>
        <v/>
      </c>
      <c r="D27" s="10">
        <f>MIN(A27,$B$5)*$F$6*B27</f>
        <v/>
      </c>
      <c r="E27" s="10">
        <f>MIN(A27,$B$5)/$B$5*B27</f>
        <v/>
      </c>
    </row>
    <row r="28">
      <c r="A28" s="8" t="n">
        <v>19</v>
      </c>
      <c r="B28" s="9" t="n">
        <v>1.046569214248562e-05</v>
      </c>
      <c r="C28" s="10">
        <f>A28*B28</f>
        <v/>
      </c>
      <c r="D28" s="10">
        <f>MIN(A28,$B$5)*$F$6*B28</f>
        <v/>
      </c>
      <c r="E28" s="10">
        <f>MIN(A28,$B$5)/$B$5*B28</f>
        <v/>
      </c>
    </row>
    <row r="29">
      <c r="A29" s="8" t="n">
        <v>20</v>
      </c>
      <c r="B29" s="9" t="n">
        <v>1.425909617287635e-05</v>
      </c>
      <c r="C29" s="10">
        <f>A29*B29</f>
        <v/>
      </c>
      <c r="D29" s="10">
        <f>MIN(A29,$B$5)*$F$6*B29</f>
        <v/>
      </c>
      <c r="E29" s="10">
        <f>MIN(A29,$B$5)/$B$5*B29</f>
        <v/>
      </c>
    </row>
    <row r="30">
      <c r="A30" s="8" t="n">
        <v>21</v>
      </c>
      <c r="B30" s="9" t="n">
        <v>2.515828954728096e-05</v>
      </c>
      <c r="C30" s="10">
        <f>A30*B30</f>
        <v/>
      </c>
      <c r="D30" s="10">
        <f>MIN(A30,$B$5)*$F$6*B30</f>
        <v/>
      </c>
      <c r="E30" s="10">
        <f>MIN(A30,$B$5)/$B$5*B30</f>
        <v/>
      </c>
    </row>
    <row r="31">
      <c r="A31" s="8" t="n">
        <v>22</v>
      </c>
      <c r="B31" s="9" t="n">
        <v>1.365586088858184e-05</v>
      </c>
      <c r="C31" s="10">
        <f>A31*B31</f>
        <v/>
      </c>
      <c r="D31" s="10">
        <f>MIN(A31,$B$5)*$F$6*B31</f>
        <v/>
      </c>
      <c r="E31" s="10">
        <f>MIN(A31,$B$5)/$B$5*B31</f>
        <v/>
      </c>
    </row>
    <row r="32">
      <c r="A32" s="8" t="n">
        <v>23</v>
      </c>
      <c r="B32" s="9" t="n">
        <v>1.182853791481734e-05</v>
      </c>
      <c r="C32" s="10">
        <f>A32*B32</f>
        <v/>
      </c>
      <c r="D32" s="10">
        <f>MIN(A32,$B$5)*$F$6*B32</f>
        <v/>
      </c>
      <c r="E32" s="10">
        <f>MIN(A32,$B$5)/$B$5*B32</f>
        <v/>
      </c>
    </row>
    <row r="33">
      <c r="A33" s="8" t="n">
        <v>24</v>
      </c>
      <c r="B33" s="9" t="n">
        <v>1.653842737077138e-05</v>
      </c>
      <c r="C33" s="10">
        <f>A33*B33</f>
        <v/>
      </c>
      <c r="D33" s="10">
        <f>MIN(A33,$B$5)*$F$6*B33</f>
        <v/>
      </c>
      <c r="E33" s="10">
        <f>MIN(A33,$B$5)/$B$5*B33</f>
        <v/>
      </c>
    </row>
    <row r="34">
      <c r="A34" s="8" t="n">
        <v>25</v>
      </c>
      <c r="B34" s="9" t="n">
        <v>1.623327458013868e-05</v>
      </c>
      <c r="C34" s="10">
        <f>A34*B34</f>
        <v/>
      </c>
      <c r="D34" s="10">
        <f>MIN(A34,$B$5)*$F$6*B34</f>
        <v/>
      </c>
      <c r="E34" s="10">
        <f>MIN(A34,$B$5)/$B$5*B34</f>
        <v/>
      </c>
    </row>
    <row r="35">
      <c r="A35" s="8" t="n">
        <v>26</v>
      </c>
      <c r="B35" s="9" t="n">
        <v>1.600493190900931e-05</v>
      </c>
      <c r="C35" s="10">
        <f>A35*B35</f>
        <v/>
      </c>
      <c r="D35" s="10">
        <f>MIN(A35,$B$5)*$F$6*B35</f>
        <v/>
      </c>
      <c r="E35" s="10">
        <f>MIN(A35,$B$5)/$B$5*B35</f>
        <v/>
      </c>
    </row>
    <row r="36">
      <c r="A36" s="8" t="n">
        <v>27</v>
      </c>
      <c r="B36" s="9" t="n">
        <v>1.080796251982568e-05</v>
      </c>
      <c r="C36" s="10">
        <f>A36*B36</f>
        <v/>
      </c>
      <c r="D36" s="10">
        <f>MIN(A36,$B$5)*$F$6*B36</f>
        <v/>
      </c>
      <c r="E36" s="10">
        <f>MIN(A36,$B$5)/$B$5*B36</f>
        <v/>
      </c>
    </row>
    <row r="37">
      <c r="A37" s="8" t="n">
        <v>28</v>
      </c>
      <c r="B37" s="9" t="n">
        <v>1.236833440331701e-05</v>
      </c>
      <c r="C37" s="10">
        <f>A37*B37</f>
        <v/>
      </c>
      <c r="D37" s="10">
        <f>MIN(A37,$B$5)*$F$6*B37</f>
        <v/>
      </c>
      <c r="E37" s="10">
        <f>MIN(A37,$B$5)/$B$5*B37</f>
        <v/>
      </c>
    </row>
    <row r="38">
      <c r="A38" s="8" t="n">
        <v>29</v>
      </c>
      <c r="B38" s="9" t="n">
        <v>1.471714940630993e-05</v>
      </c>
      <c r="C38" s="10">
        <f>A38*B38</f>
        <v/>
      </c>
      <c r="D38" s="10">
        <f>MIN(A38,$B$5)*$F$6*B38</f>
        <v/>
      </c>
      <c r="E38" s="10">
        <f>MIN(A38,$B$5)/$B$5*B38</f>
        <v/>
      </c>
    </row>
    <row r="39">
      <c r="A39" s="8" t="n">
        <v>30</v>
      </c>
      <c r="B39" s="9" t="n">
        <v>1.635852546188148e-05</v>
      </c>
      <c r="C39" s="10">
        <f>A39*B39</f>
        <v/>
      </c>
      <c r="D39" s="10">
        <f>MIN(A39,$B$5)*$F$6*B39</f>
        <v/>
      </c>
      <c r="E39" s="10">
        <f>MIN(A39,$B$5)/$B$5*B39</f>
        <v/>
      </c>
    </row>
    <row r="40">
      <c r="A40" s="8" t="n">
        <v>31</v>
      </c>
      <c r="B40" s="9" t="n">
        <v>1.231514104613191e-05</v>
      </c>
      <c r="C40" s="10">
        <f>A40*B40</f>
        <v/>
      </c>
      <c r="D40" s="10">
        <f>MIN(A40,$B$5)*$F$6*B40</f>
        <v/>
      </c>
      <c r="E40" s="10">
        <f>MIN(A40,$B$5)/$B$5*B40</f>
        <v/>
      </c>
    </row>
    <row r="41">
      <c r="A41" s="8" t="n">
        <v>32</v>
      </c>
      <c r="B41" s="9" t="n">
        <v>1.351070514499334e-05</v>
      </c>
      <c r="C41" s="10">
        <f>A41*B41</f>
        <v/>
      </c>
      <c r="D41" s="10">
        <f>MIN(A41,$B$5)*$F$6*B41</f>
        <v/>
      </c>
      <c r="E41" s="10">
        <f>MIN(A41,$B$5)/$B$5*B41</f>
        <v/>
      </c>
    </row>
    <row r="42">
      <c r="A42" s="8" t="n">
        <v>33</v>
      </c>
      <c r="B42" s="9" t="n">
        <v>1.52857879043295e-05</v>
      </c>
      <c r="C42" s="10">
        <f>A42*B42</f>
        <v/>
      </c>
      <c r="D42" s="10">
        <f>MIN(A42,$B$5)*$F$6*B42</f>
        <v/>
      </c>
      <c r="E42" s="10">
        <f>MIN(A42,$B$5)/$B$5*B42</f>
        <v/>
      </c>
    </row>
    <row r="43">
      <c r="A43" s="8" t="n">
        <v>34</v>
      </c>
      <c r="B43" s="9" t="n">
        <v>1.356846490183544e-05</v>
      </c>
      <c r="C43" s="10">
        <f>A43*B43</f>
        <v/>
      </c>
      <c r="D43" s="10">
        <f>MIN(A43,$B$5)*$F$6*B43</f>
        <v/>
      </c>
      <c r="E43" s="10">
        <f>MIN(A43,$B$5)/$B$5*B43</f>
        <v/>
      </c>
    </row>
    <row r="44">
      <c r="A44" s="8" t="n">
        <v>35</v>
      </c>
      <c r="B44" s="9" t="n">
        <v>9.017088280804796e-06</v>
      </c>
      <c r="C44" s="10">
        <f>A44*B44</f>
        <v/>
      </c>
      <c r="D44" s="10">
        <f>MIN(A44,$B$5)*$F$6*B44</f>
        <v/>
      </c>
      <c r="E44" s="10">
        <f>MIN(A44,$B$5)/$B$5*B44</f>
        <v/>
      </c>
    </row>
    <row r="45">
      <c r="A45" s="8" t="n">
        <v>36</v>
      </c>
      <c r="B45" s="9" t="n">
        <v>1.34708483483352e-05</v>
      </c>
      <c r="C45" s="10">
        <f>A45*B45</f>
        <v/>
      </c>
      <c r="D45" s="10">
        <f>MIN(A45,$B$5)*$F$6*B45</f>
        <v/>
      </c>
      <c r="E45" s="10">
        <f>MIN(A45,$B$5)/$B$5*B45</f>
        <v/>
      </c>
    </row>
    <row r="46">
      <c r="A46" s="8" t="n">
        <v>37</v>
      </c>
      <c r="B46" s="9" t="n">
        <v>1.160450754849863e-05</v>
      </c>
      <c r="C46" s="10">
        <f>A46*B46</f>
        <v/>
      </c>
      <c r="D46" s="10">
        <f>MIN(A46,$B$5)*$F$6*B46</f>
        <v/>
      </c>
      <c r="E46" s="10">
        <f>MIN(A46,$B$5)/$B$5*B46</f>
        <v/>
      </c>
    </row>
    <row r="47">
      <c r="A47" s="8" t="n">
        <v>38</v>
      </c>
      <c r="B47" s="9" t="n">
        <v>1.677619891982315e-05</v>
      </c>
      <c r="C47" s="10">
        <f>A47*B47</f>
        <v/>
      </c>
      <c r="D47" s="10">
        <f>MIN(A47,$B$5)*$F$6*B47</f>
        <v/>
      </c>
      <c r="E47" s="10">
        <f>MIN(A47,$B$5)/$B$5*B47</f>
        <v/>
      </c>
    </row>
    <row r="48">
      <c r="A48" s="8" t="n">
        <v>39</v>
      </c>
      <c r="B48" s="9" t="n">
        <v>0.03866300202218589</v>
      </c>
      <c r="C48" s="10">
        <f>A48*B48</f>
        <v/>
      </c>
      <c r="D48" s="10">
        <f>MIN(A48,$B$5)*$F$6*B48</f>
        <v/>
      </c>
      <c r="E48" s="10">
        <f>MIN(A48,$B$5)/$B$5*B48</f>
        <v/>
      </c>
    </row>
    <row r="49">
      <c r="A49" s="8" t="n">
        <v>40</v>
      </c>
      <c r="B49" s="9" t="n">
        <v>0.9608053126671624</v>
      </c>
      <c r="C49" s="10">
        <f>A49*B49</f>
        <v/>
      </c>
      <c r="D49" s="10">
        <f>MIN(A49,$B$5)*$F$6*B49</f>
        <v/>
      </c>
      <c r="E49" s="10">
        <f>MIN(A49,$B$5)/$B$5*B49</f>
        <v/>
      </c>
    </row>
    <row r="50">
      <c r="A50" s="4" t="inlineStr">
        <is>
          <t>TOTAL</t>
        </is>
      </c>
      <c r="B50" s="11">
        <f>SUM(B9:B49)</f>
        <v/>
      </c>
      <c r="C50" s="11">
        <f>SUM(C9:C49)</f>
        <v/>
      </c>
      <c r="D50" s="11">
        <f>SUM(D9:D49)</f>
        <v/>
      </c>
      <c r="E50" s="11">
        <f>SUM(E9:E49)</f>
        <v/>
      </c>
    </row>
    <row r="51">
      <c r="A51" s="12" t="inlineStr"/>
      <c r="B51" s="12" t="inlineStr">
        <is>
          <t>Σ P(i)</t>
        </is>
      </c>
      <c r="C51" s="12" t="inlineStr">
        <is>
          <t>N — pop. média</t>
        </is>
      </c>
      <c r="D51" s="12" t="inlineStr">
        <is>
          <t>D — vazão (pac/h)</t>
        </is>
      </c>
      <c r="E51" s="12" t="inlineStr">
        <is>
          <t>U — utilização</t>
        </is>
      </c>
    </row>
    <row r="52">
      <c r="A52" s="4" t="inlineStr">
        <is>
          <t>W (h):</t>
        </is>
      </c>
      <c r="B52" s="10">
        <f>IF(D50&gt;0,C50/D50,0)</f>
        <v/>
      </c>
      <c r="C52" s="4" t="inlineStr">
        <is>
          <t>W (min):</t>
        </is>
      </c>
      <c r="D52" s="13">
        <f>B52*60</f>
        <v/>
      </c>
    </row>
    <row r="54">
      <c r="A54" s="3" t="inlineStr">
        <is>
          <t>Fila F2  —  G/G/2/35</t>
        </is>
      </c>
    </row>
    <row r="55">
      <c r="A55" s="4" t="inlineStr">
        <is>
          <t>Servidores (c):</t>
        </is>
      </c>
      <c r="B55" s="5" t="n">
        <v>2</v>
      </c>
      <c r="C55" s="4" t="inlineStr">
        <is>
          <t>Capacidade (K):</t>
        </is>
      </c>
      <c r="D55" s="5" t="n">
        <v>35</v>
      </c>
      <c r="E55" s="4" t="inlineStr">
        <is>
          <t>Perdas:</t>
        </is>
      </c>
      <c r="F55" s="5" t="n">
        <v>0</v>
      </c>
    </row>
    <row r="56">
      <c r="A56" s="4" t="inlineStr">
        <is>
          <t>t_min (min):</t>
        </is>
      </c>
      <c r="B56" s="5" t="n">
        <v>15</v>
      </c>
      <c r="C56" s="4" t="inlineStr">
        <is>
          <t>t_max (min):</t>
        </is>
      </c>
      <c r="D56" s="5" t="n">
        <v>40</v>
      </c>
      <c r="E56" s="4" t="inlineStr">
        <is>
          <t>μ (pac/h):</t>
        </is>
      </c>
      <c r="F56" s="6">
        <f>60/AVERAGE($B$56,$D$56)</f>
        <v/>
      </c>
    </row>
    <row r="58">
      <c r="A58" s="7" t="inlineStr">
        <is>
          <t>Estado (i)</t>
        </is>
      </c>
      <c r="B58" s="7" t="inlineStr">
        <is>
          <t>P(i)  [entrada]</t>
        </is>
      </c>
      <c r="C58" s="7" t="inlineStr">
        <is>
          <t>i · P(i)</t>
        </is>
      </c>
      <c r="D58" s="7" t="inlineStr">
        <is>
          <t>min(i,c)·μ·P(i)</t>
        </is>
      </c>
      <c r="E58" s="7" t="inlineStr">
        <is>
          <t>min(i,c)/c · P(i)</t>
        </is>
      </c>
    </row>
    <row r="59">
      <c r="A59" s="8" t="n">
        <v>0</v>
      </c>
      <c r="B59" s="9" t="n">
        <v>0.3153940735364151</v>
      </c>
      <c r="C59" s="10">
        <f>A59*B59</f>
        <v/>
      </c>
      <c r="D59" s="10">
        <f>MIN(A59,$B$55)*$F$56*B59</f>
        <v/>
      </c>
      <c r="E59" s="10">
        <f>MIN(A59,$B$55)/$B$55*B59</f>
        <v/>
      </c>
    </row>
    <row r="60">
      <c r="A60" s="8" t="n">
        <v>1</v>
      </c>
      <c r="B60" s="9" t="n">
        <v>0.5099452890976995</v>
      </c>
      <c r="C60" s="10">
        <f>A60*B60</f>
        <v/>
      </c>
      <c r="D60" s="10">
        <f>MIN(A60,$B$55)*$F$56*B60</f>
        <v/>
      </c>
      <c r="E60" s="10">
        <f>MIN(A60,$B$55)/$B$55*B60</f>
        <v/>
      </c>
    </row>
    <row r="61">
      <c r="A61" s="8" t="n">
        <v>2</v>
      </c>
      <c r="B61" s="9" t="n">
        <v>0.1631960465196352</v>
      </c>
      <c r="C61" s="10">
        <f>A61*B61</f>
        <v/>
      </c>
      <c r="D61" s="10">
        <f>MIN(A61,$B$55)*$F$56*B61</f>
        <v/>
      </c>
      <c r="E61" s="10">
        <f>MIN(A61,$B$55)/$B$55*B61</f>
        <v/>
      </c>
    </row>
    <row r="62">
      <c r="A62" s="8" t="n">
        <v>3</v>
      </c>
      <c r="B62" s="9" t="n">
        <v>0.01117448384486715</v>
      </c>
      <c r="C62" s="10">
        <f>A62*B62</f>
        <v/>
      </c>
      <c r="D62" s="10">
        <f>MIN(A62,$B$55)*$F$56*B62</f>
        <v/>
      </c>
      <c r="E62" s="10">
        <f>MIN(A62,$B$55)/$B$55*B62</f>
        <v/>
      </c>
    </row>
    <row r="63">
      <c r="A63" s="8" t="n">
        <v>4</v>
      </c>
      <c r="B63" s="9" t="n">
        <v>0.0002901070013831095</v>
      </c>
      <c r="C63" s="10">
        <f>A63*B63</f>
        <v/>
      </c>
      <c r="D63" s="10">
        <f>MIN(A63,$B$55)*$F$56*B63</f>
        <v/>
      </c>
      <c r="E63" s="10">
        <f>MIN(A63,$B$55)/$B$55*B63</f>
        <v/>
      </c>
    </row>
    <row r="64">
      <c r="A64" s="8" t="n">
        <v>5</v>
      </c>
      <c r="B64" s="9" t="n">
        <v>0</v>
      </c>
      <c r="C64" s="10">
        <f>A64*B64</f>
        <v/>
      </c>
      <c r="D64" s="10">
        <f>MIN(A64,$B$55)*$F$56*B64</f>
        <v/>
      </c>
      <c r="E64" s="10">
        <f>MIN(A64,$B$55)/$B$55*B64</f>
        <v/>
      </c>
    </row>
    <row r="65">
      <c r="A65" s="8" t="n">
        <v>6</v>
      </c>
      <c r="B65" s="9" t="n">
        <v>0</v>
      </c>
      <c r="C65" s="10">
        <f>A65*B65</f>
        <v/>
      </c>
      <c r="D65" s="10">
        <f>MIN(A65,$B$55)*$F$56*B65</f>
        <v/>
      </c>
      <c r="E65" s="10">
        <f>MIN(A65,$B$55)/$B$55*B65</f>
        <v/>
      </c>
    </row>
    <row r="66">
      <c r="A66" s="8" t="n">
        <v>7</v>
      </c>
      <c r="B66" s="9" t="n">
        <v>0</v>
      </c>
      <c r="C66" s="10">
        <f>A66*B66</f>
        <v/>
      </c>
      <c r="D66" s="10">
        <f>MIN(A66,$B$55)*$F$56*B66</f>
        <v/>
      </c>
      <c r="E66" s="10">
        <f>MIN(A66,$B$55)/$B$55*B66</f>
        <v/>
      </c>
    </row>
    <row r="67">
      <c r="A67" s="8" t="n">
        <v>8</v>
      </c>
      <c r="B67" s="9" t="n">
        <v>0</v>
      </c>
      <c r="C67" s="10">
        <f>A67*B67</f>
        <v/>
      </c>
      <c r="D67" s="10">
        <f>MIN(A67,$B$55)*$F$56*B67</f>
        <v/>
      </c>
      <c r="E67" s="10">
        <f>MIN(A67,$B$55)/$B$55*B67</f>
        <v/>
      </c>
    </row>
    <row r="68">
      <c r="A68" s="8" t="n">
        <v>9</v>
      </c>
      <c r="B68" s="9" t="n">
        <v>0</v>
      </c>
      <c r="C68" s="10">
        <f>A68*B68</f>
        <v/>
      </c>
      <c r="D68" s="10">
        <f>MIN(A68,$B$55)*$F$56*B68</f>
        <v/>
      </c>
      <c r="E68" s="10">
        <f>MIN(A68,$B$55)/$B$55*B68</f>
        <v/>
      </c>
    </row>
    <row r="69">
      <c r="A69" s="8" t="n">
        <v>10</v>
      </c>
      <c r="B69" s="9" t="n">
        <v>0</v>
      </c>
      <c r="C69" s="10">
        <f>A69*B69</f>
        <v/>
      </c>
      <c r="D69" s="10">
        <f>MIN(A69,$B$55)*$F$56*B69</f>
        <v/>
      </c>
      <c r="E69" s="10">
        <f>MIN(A69,$B$55)/$B$55*B69</f>
        <v/>
      </c>
    </row>
    <row r="70">
      <c r="A70" s="8" t="n">
        <v>11</v>
      </c>
      <c r="B70" s="9" t="n">
        <v>0</v>
      </c>
      <c r="C70" s="10">
        <f>A70*B70</f>
        <v/>
      </c>
      <c r="D70" s="10">
        <f>MIN(A70,$B$55)*$F$56*B70</f>
        <v/>
      </c>
      <c r="E70" s="10">
        <f>MIN(A70,$B$55)/$B$55*B70</f>
        <v/>
      </c>
    </row>
    <row r="71">
      <c r="A71" s="8" t="n">
        <v>12</v>
      </c>
      <c r="B71" s="9" t="n">
        <v>0</v>
      </c>
      <c r="C71" s="10">
        <f>A71*B71</f>
        <v/>
      </c>
      <c r="D71" s="10">
        <f>MIN(A71,$B$55)*$F$56*B71</f>
        <v/>
      </c>
      <c r="E71" s="10">
        <f>MIN(A71,$B$55)/$B$55*B71</f>
        <v/>
      </c>
    </row>
    <row r="72">
      <c r="A72" s="8" t="n">
        <v>13</v>
      </c>
      <c r="B72" s="9" t="n">
        <v>0</v>
      </c>
      <c r="C72" s="10">
        <f>A72*B72</f>
        <v/>
      </c>
      <c r="D72" s="10">
        <f>MIN(A72,$B$55)*$F$56*B72</f>
        <v/>
      </c>
      <c r="E72" s="10">
        <f>MIN(A72,$B$55)/$B$55*B72</f>
        <v/>
      </c>
    </row>
    <row r="73">
      <c r="A73" s="8" t="n">
        <v>14</v>
      </c>
      <c r="B73" s="9" t="n">
        <v>0</v>
      </c>
      <c r="C73" s="10">
        <f>A73*B73</f>
        <v/>
      </c>
      <c r="D73" s="10">
        <f>MIN(A73,$B$55)*$F$56*B73</f>
        <v/>
      </c>
      <c r="E73" s="10">
        <f>MIN(A73,$B$55)/$B$55*B73</f>
        <v/>
      </c>
    </row>
    <row r="74">
      <c r="A74" s="8" t="n">
        <v>15</v>
      </c>
      <c r="B74" s="9" t="n">
        <v>0</v>
      </c>
      <c r="C74" s="10">
        <f>A74*B74</f>
        <v/>
      </c>
      <c r="D74" s="10">
        <f>MIN(A74,$B$55)*$F$56*B74</f>
        <v/>
      </c>
      <c r="E74" s="10">
        <f>MIN(A74,$B$55)/$B$55*B74</f>
        <v/>
      </c>
    </row>
    <row r="75">
      <c r="A75" s="8" t="n">
        <v>16</v>
      </c>
      <c r="B75" s="9" t="n">
        <v>0</v>
      </c>
      <c r="C75" s="10">
        <f>A75*B75</f>
        <v/>
      </c>
      <c r="D75" s="10">
        <f>MIN(A75,$B$55)*$F$56*B75</f>
        <v/>
      </c>
      <c r="E75" s="10">
        <f>MIN(A75,$B$55)/$B$55*B75</f>
        <v/>
      </c>
    </row>
    <row r="76">
      <c r="A76" s="8" t="n">
        <v>17</v>
      </c>
      <c r="B76" s="9" t="n">
        <v>0</v>
      </c>
      <c r="C76" s="10">
        <f>A76*B76</f>
        <v/>
      </c>
      <c r="D76" s="10">
        <f>MIN(A76,$B$55)*$F$56*B76</f>
        <v/>
      </c>
      <c r="E76" s="10">
        <f>MIN(A76,$B$55)/$B$55*B76</f>
        <v/>
      </c>
    </row>
    <row r="77">
      <c r="A77" s="8" t="n">
        <v>18</v>
      </c>
      <c r="B77" s="9" t="n">
        <v>0</v>
      </c>
      <c r="C77" s="10">
        <f>A77*B77</f>
        <v/>
      </c>
      <c r="D77" s="10">
        <f>MIN(A77,$B$55)*$F$56*B77</f>
        <v/>
      </c>
      <c r="E77" s="10">
        <f>MIN(A77,$B$55)/$B$55*B77</f>
        <v/>
      </c>
    </row>
    <row r="78">
      <c r="A78" s="8" t="n">
        <v>19</v>
      </c>
      <c r="B78" s="9" t="n">
        <v>0</v>
      </c>
      <c r="C78" s="10">
        <f>A78*B78</f>
        <v/>
      </c>
      <c r="D78" s="10">
        <f>MIN(A78,$B$55)*$F$56*B78</f>
        <v/>
      </c>
      <c r="E78" s="10">
        <f>MIN(A78,$B$55)/$B$55*B78</f>
        <v/>
      </c>
    </row>
    <row r="79">
      <c r="A79" s="8" t="n">
        <v>20</v>
      </c>
      <c r="B79" s="9" t="n">
        <v>0</v>
      </c>
      <c r="C79" s="10">
        <f>A79*B79</f>
        <v/>
      </c>
      <c r="D79" s="10">
        <f>MIN(A79,$B$55)*$F$56*B79</f>
        <v/>
      </c>
      <c r="E79" s="10">
        <f>MIN(A79,$B$55)/$B$55*B79</f>
        <v/>
      </c>
    </row>
    <row r="80">
      <c r="A80" s="8" t="n">
        <v>21</v>
      </c>
      <c r="B80" s="9" t="n">
        <v>0</v>
      </c>
      <c r="C80" s="10">
        <f>A80*B80</f>
        <v/>
      </c>
      <c r="D80" s="10">
        <f>MIN(A80,$B$55)*$F$56*B80</f>
        <v/>
      </c>
      <c r="E80" s="10">
        <f>MIN(A80,$B$55)/$B$55*B80</f>
        <v/>
      </c>
    </row>
    <row r="81">
      <c r="A81" s="8" t="n">
        <v>22</v>
      </c>
      <c r="B81" s="9" t="n">
        <v>0</v>
      </c>
      <c r="C81" s="10">
        <f>A81*B81</f>
        <v/>
      </c>
      <c r="D81" s="10">
        <f>MIN(A81,$B$55)*$F$56*B81</f>
        <v/>
      </c>
      <c r="E81" s="10">
        <f>MIN(A81,$B$55)/$B$55*B81</f>
        <v/>
      </c>
    </row>
    <row r="82">
      <c r="A82" s="8" t="n">
        <v>23</v>
      </c>
      <c r="B82" s="9" t="n">
        <v>0</v>
      </c>
      <c r="C82" s="10">
        <f>A82*B82</f>
        <v/>
      </c>
      <c r="D82" s="10">
        <f>MIN(A82,$B$55)*$F$56*B82</f>
        <v/>
      </c>
      <c r="E82" s="10">
        <f>MIN(A82,$B$55)/$B$55*B82</f>
        <v/>
      </c>
    </row>
    <row r="83">
      <c r="A83" s="8" t="n">
        <v>24</v>
      </c>
      <c r="B83" s="9" t="n">
        <v>0</v>
      </c>
      <c r="C83" s="10">
        <f>A83*B83</f>
        <v/>
      </c>
      <c r="D83" s="10">
        <f>MIN(A83,$B$55)*$F$56*B83</f>
        <v/>
      </c>
      <c r="E83" s="10">
        <f>MIN(A83,$B$55)/$B$55*B83</f>
        <v/>
      </c>
    </row>
    <row r="84">
      <c r="A84" s="8" t="n">
        <v>25</v>
      </c>
      <c r="B84" s="9" t="n">
        <v>0</v>
      </c>
      <c r="C84" s="10">
        <f>A84*B84</f>
        <v/>
      </c>
      <c r="D84" s="10">
        <f>MIN(A84,$B$55)*$F$56*B84</f>
        <v/>
      </c>
      <c r="E84" s="10">
        <f>MIN(A84,$B$55)/$B$55*B84</f>
        <v/>
      </c>
    </row>
    <row r="85">
      <c r="A85" s="8" t="n">
        <v>26</v>
      </c>
      <c r="B85" s="9" t="n">
        <v>0</v>
      </c>
      <c r="C85" s="10">
        <f>A85*B85</f>
        <v/>
      </c>
      <c r="D85" s="10">
        <f>MIN(A85,$B$55)*$F$56*B85</f>
        <v/>
      </c>
      <c r="E85" s="10">
        <f>MIN(A85,$B$55)/$B$55*B85</f>
        <v/>
      </c>
    </row>
    <row r="86">
      <c r="A86" s="8" t="n">
        <v>27</v>
      </c>
      <c r="B86" s="9" t="n">
        <v>0</v>
      </c>
      <c r="C86" s="10">
        <f>A86*B86</f>
        <v/>
      </c>
      <c r="D86" s="10">
        <f>MIN(A86,$B$55)*$F$56*B86</f>
        <v/>
      </c>
      <c r="E86" s="10">
        <f>MIN(A86,$B$55)/$B$55*B86</f>
        <v/>
      </c>
    </row>
    <row r="87">
      <c r="A87" s="8" t="n">
        <v>28</v>
      </c>
      <c r="B87" s="9" t="n">
        <v>0</v>
      </c>
      <c r="C87" s="10">
        <f>A87*B87</f>
        <v/>
      </c>
      <c r="D87" s="10">
        <f>MIN(A87,$B$55)*$F$56*B87</f>
        <v/>
      </c>
      <c r="E87" s="10">
        <f>MIN(A87,$B$55)/$B$55*B87</f>
        <v/>
      </c>
    </row>
    <row r="88">
      <c r="A88" s="8" t="n">
        <v>29</v>
      </c>
      <c r="B88" s="9" t="n">
        <v>0</v>
      </c>
      <c r="C88" s="10">
        <f>A88*B88</f>
        <v/>
      </c>
      <c r="D88" s="10">
        <f>MIN(A88,$B$55)*$F$56*B88</f>
        <v/>
      </c>
      <c r="E88" s="10">
        <f>MIN(A88,$B$55)/$B$55*B88</f>
        <v/>
      </c>
    </row>
    <row r="89">
      <c r="A89" s="8" t="n">
        <v>30</v>
      </c>
      <c r="B89" s="9" t="n">
        <v>0</v>
      </c>
      <c r="C89" s="10">
        <f>A89*B89</f>
        <v/>
      </c>
      <c r="D89" s="10">
        <f>MIN(A89,$B$55)*$F$56*B89</f>
        <v/>
      </c>
      <c r="E89" s="10">
        <f>MIN(A89,$B$55)/$B$55*B89</f>
        <v/>
      </c>
    </row>
    <row r="90">
      <c r="A90" s="8" t="n">
        <v>31</v>
      </c>
      <c r="B90" s="9" t="n">
        <v>0</v>
      </c>
      <c r="C90" s="10">
        <f>A90*B90</f>
        <v/>
      </c>
      <c r="D90" s="10">
        <f>MIN(A90,$B$55)*$F$56*B90</f>
        <v/>
      </c>
      <c r="E90" s="10">
        <f>MIN(A90,$B$55)/$B$55*B90</f>
        <v/>
      </c>
    </row>
    <row r="91">
      <c r="A91" s="8" t="n">
        <v>32</v>
      </c>
      <c r="B91" s="9" t="n">
        <v>0</v>
      </c>
      <c r="C91" s="10">
        <f>A91*B91</f>
        <v/>
      </c>
      <c r="D91" s="10">
        <f>MIN(A91,$B$55)*$F$56*B91</f>
        <v/>
      </c>
      <c r="E91" s="10">
        <f>MIN(A91,$B$55)/$B$55*B91</f>
        <v/>
      </c>
    </row>
    <row r="92">
      <c r="A92" s="8" t="n">
        <v>33</v>
      </c>
      <c r="B92" s="9" t="n">
        <v>0</v>
      </c>
      <c r="C92" s="10">
        <f>A92*B92</f>
        <v/>
      </c>
      <c r="D92" s="10">
        <f>MIN(A92,$B$55)*$F$56*B92</f>
        <v/>
      </c>
      <c r="E92" s="10">
        <f>MIN(A92,$B$55)/$B$55*B92</f>
        <v/>
      </c>
    </row>
    <row r="93">
      <c r="A93" s="8" t="n">
        <v>34</v>
      </c>
      <c r="B93" s="9" t="n">
        <v>0</v>
      </c>
      <c r="C93" s="10">
        <f>A93*B93</f>
        <v/>
      </c>
      <c r="D93" s="10">
        <f>MIN(A93,$B$55)*$F$56*B93</f>
        <v/>
      </c>
      <c r="E93" s="10">
        <f>MIN(A93,$B$55)/$B$55*B93</f>
        <v/>
      </c>
    </row>
    <row r="94">
      <c r="A94" s="8" t="n">
        <v>35</v>
      </c>
      <c r="B94" s="9" t="n">
        <v>0</v>
      </c>
      <c r="C94" s="10">
        <f>A94*B94</f>
        <v/>
      </c>
      <c r="D94" s="10">
        <f>MIN(A94,$B$55)*$F$56*B94</f>
        <v/>
      </c>
      <c r="E94" s="10">
        <f>MIN(A94,$B$55)/$B$55*B94</f>
        <v/>
      </c>
    </row>
    <row r="95">
      <c r="A95" s="4" t="inlineStr">
        <is>
          <t>TOTAL</t>
        </is>
      </c>
      <c r="B95" s="11">
        <f>SUM(B59:B94)</f>
        <v/>
      </c>
      <c r="C95" s="11">
        <f>SUM(C59:C94)</f>
        <v/>
      </c>
      <c r="D95" s="11">
        <f>SUM(D59:D94)</f>
        <v/>
      </c>
      <c r="E95" s="11">
        <f>SUM(E59:E94)</f>
        <v/>
      </c>
    </row>
    <row r="96">
      <c r="A96" s="12" t="inlineStr"/>
      <c r="B96" s="12" t="inlineStr">
        <is>
          <t>Σ P(i)</t>
        </is>
      </c>
      <c r="C96" s="12" t="inlineStr">
        <is>
          <t>N — pop. média</t>
        </is>
      </c>
      <c r="D96" s="12" t="inlineStr">
        <is>
          <t>D — vazão (pac/h)</t>
        </is>
      </c>
      <c r="E96" s="12" t="inlineStr">
        <is>
          <t>U — utilização</t>
        </is>
      </c>
    </row>
    <row r="97">
      <c r="A97" s="4" t="inlineStr">
        <is>
          <t>W (h):</t>
        </is>
      </c>
      <c r="B97" s="10">
        <f>IF(D95&gt;0,C95/D95,0)</f>
        <v/>
      </c>
      <c r="C97" s="4" t="inlineStr">
        <is>
          <t>W (min):</t>
        </is>
      </c>
      <c r="D97" s="13">
        <f>B97*60</f>
        <v/>
      </c>
    </row>
    <row r="99">
      <c r="A99" s="3" t="inlineStr">
        <is>
          <t>Fila F3  —  G/G/1/8</t>
        </is>
      </c>
    </row>
    <row r="100">
      <c r="A100" s="4" t="inlineStr">
        <is>
          <t>Servidores (c):</t>
        </is>
      </c>
      <c r="B100" s="5" t="n">
        <v>1</v>
      </c>
      <c r="C100" s="4" t="inlineStr">
        <is>
          <t>Capacidade (K):</t>
        </is>
      </c>
      <c r="D100" s="5" t="n">
        <v>8</v>
      </c>
      <c r="E100" s="4" t="inlineStr">
        <is>
          <t>Perdas:</t>
        </is>
      </c>
      <c r="F100" s="5" t="n">
        <v>0</v>
      </c>
    </row>
    <row r="101">
      <c r="A101" s="4" t="inlineStr">
        <is>
          <t>t_min (min):</t>
        </is>
      </c>
      <c r="B101" s="5" t="n">
        <v>8</v>
      </c>
      <c r="C101" s="4" t="inlineStr">
        <is>
          <t>t_max (min):</t>
        </is>
      </c>
      <c r="D101" s="5" t="n">
        <v>18</v>
      </c>
      <c r="E101" s="4" t="inlineStr">
        <is>
          <t>μ (pac/h):</t>
        </is>
      </c>
      <c r="F101" s="6">
        <f>60/AVERAGE($B$101,$D$101)</f>
        <v/>
      </c>
    </row>
    <row r="103">
      <c r="A103" s="7" t="inlineStr">
        <is>
          <t>Estado (i)</t>
        </is>
      </c>
      <c r="B103" s="7" t="inlineStr">
        <is>
          <t>P(i)  [entrada]</t>
        </is>
      </c>
      <c r="C103" s="7" t="inlineStr">
        <is>
          <t>i · P(i)</t>
        </is>
      </c>
      <c r="D103" s="7" t="inlineStr">
        <is>
          <t>min(i,c)·μ·P(i)</t>
        </is>
      </c>
      <c r="E103" s="7" t="inlineStr">
        <is>
          <t>min(i,c)/c · P(i)</t>
        </is>
      </c>
    </row>
    <row r="104">
      <c r="A104" s="8" t="n">
        <v>0</v>
      </c>
      <c r="B104" s="9" t="n">
        <v>0.8496724153052945</v>
      </c>
      <c r="C104" s="10">
        <f>A104*B104</f>
        <v/>
      </c>
      <c r="D104" s="10">
        <f>MIN(A104,$B$100)*$F$101*B104</f>
        <v/>
      </c>
      <c r="E104" s="10">
        <f>MIN(A104,$B$100)/$B$100*B104</f>
        <v/>
      </c>
    </row>
    <row r="105">
      <c r="A105" s="8" t="n">
        <v>1</v>
      </c>
      <c r="B105" s="9" t="n">
        <v>0.1424568275732416</v>
      </c>
      <c r="C105" s="10">
        <f>A105*B105</f>
        <v/>
      </c>
      <c r="D105" s="10">
        <f>MIN(A105,$B$100)*$F$101*B105</f>
        <v/>
      </c>
      <c r="E105" s="10">
        <f>MIN(A105,$B$100)/$B$100*B105</f>
        <v/>
      </c>
    </row>
    <row r="106">
      <c r="A106" s="8" t="n">
        <v>2</v>
      </c>
      <c r="B106" s="9" t="n">
        <v>0.007785903581407305</v>
      </c>
      <c r="C106" s="10">
        <f>A106*B106</f>
        <v/>
      </c>
      <c r="D106" s="10">
        <f>MIN(A106,$B$100)*$F$101*B106</f>
        <v/>
      </c>
      <c r="E106" s="10">
        <f>MIN(A106,$B$100)/$B$100*B106</f>
        <v/>
      </c>
    </row>
    <row r="107">
      <c r="A107" s="8" t="n">
        <v>3</v>
      </c>
      <c r="B107" s="9" t="n">
        <v>8.485354005665166e-05</v>
      </c>
      <c r="C107" s="10">
        <f>A107*B107</f>
        <v/>
      </c>
      <c r="D107" s="10">
        <f>MIN(A107,$B$100)*$F$101*B107</f>
        <v/>
      </c>
      <c r="E107" s="10">
        <f>MIN(A107,$B$100)/$B$100*B107</f>
        <v/>
      </c>
    </row>
    <row r="108">
      <c r="A108" s="8" t="n">
        <v>4</v>
      </c>
      <c r="B108" s="9" t="n">
        <v>0</v>
      </c>
      <c r="C108" s="10">
        <f>A108*B108</f>
        <v/>
      </c>
      <c r="D108" s="10">
        <f>MIN(A108,$B$100)*$F$101*B108</f>
        <v/>
      </c>
      <c r="E108" s="10">
        <f>MIN(A108,$B$100)/$B$100*B108</f>
        <v/>
      </c>
    </row>
    <row r="109">
      <c r="A109" s="8" t="n">
        <v>5</v>
      </c>
      <c r="B109" s="9" t="n">
        <v>0</v>
      </c>
      <c r="C109" s="10">
        <f>A109*B109</f>
        <v/>
      </c>
      <c r="D109" s="10">
        <f>MIN(A109,$B$100)*$F$101*B109</f>
        <v/>
      </c>
      <c r="E109" s="10">
        <f>MIN(A109,$B$100)/$B$100*B109</f>
        <v/>
      </c>
    </row>
    <row r="110">
      <c r="A110" s="8" t="n">
        <v>6</v>
      </c>
      <c r="B110" s="9" t="n">
        <v>0</v>
      </c>
      <c r="C110" s="10">
        <f>A110*B110</f>
        <v/>
      </c>
      <c r="D110" s="10">
        <f>MIN(A110,$B$100)*$F$101*B110</f>
        <v/>
      </c>
      <c r="E110" s="10">
        <f>MIN(A110,$B$100)/$B$100*B110</f>
        <v/>
      </c>
    </row>
    <row r="111">
      <c r="A111" s="8" t="n">
        <v>7</v>
      </c>
      <c r="B111" s="9" t="n">
        <v>0</v>
      </c>
      <c r="C111" s="10">
        <f>A111*B111</f>
        <v/>
      </c>
      <c r="D111" s="10">
        <f>MIN(A111,$B$100)*$F$101*B111</f>
        <v/>
      </c>
      <c r="E111" s="10">
        <f>MIN(A111,$B$100)/$B$100*B111</f>
        <v/>
      </c>
    </row>
    <row r="112">
      <c r="A112" s="8" t="n">
        <v>8</v>
      </c>
      <c r="B112" s="9" t="n">
        <v>0</v>
      </c>
      <c r="C112" s="10">
        <f>A112*B112</f>
        <v/>
      </c>
      <c r="D112" s="10">
        <f>MIN(A112,$B$100)*$F$101*B112</f>
        <v/>
      </c>
      <c r="E112" s="10">
        <f>MIN(A112,$B$100)/$B$100*B112</f>
        <v/>
      </c>
    </row>
    <row r="113">
      <c r="A113" s="4" t="inlineStr">
        <is>
          <t>TOTAL</t>
        </is>
      </c>
      <c r="B113" s="11">
        <f>SUM(B104:B112)</f>
        <v/>
      </c>
      <c r="C113" s="11">
        <f>SUM(C104:C112)</f>
        <v/>
      </c>
      <c r="D113" s="11">
        <f>SUM(D104:D112)</f>
        <v/>
      </c>
      <c r="E113" s="11">
        <f>SUM(E104:E112)</f>
        <v/>
      </c>
    </row>
    <row r="114">
      <c r="A114" s="12" t="inlineStr"/>
      <c r="B114" s="12" t="inlineStr">
        <is>
          <t>Σ P(i)</t>
        </is>
      </c>
      <c r="C114" s="12" t="inlineStr">
        <is>
          <t>N — pop. média</t>
        </is>
      </c>
      <c r="D114" s="12" t="inlineStr">
        <is>
          <t>D — vazão (pac/h)</t>
        </is>
      </c>
      <c r="E114" s="12" t="inlineStr">
        <is>
          <t>U — utilização</t>
        </is>
      </c>
    </row>
    <row r="115">
      <c r="A115" s="4" t="inlineStr">
        <is>
          <t>W (h):</t>
        </is>
      </c>
      <c r="B115" s="10">
        <f>IF(D113&gt;0,C113/D113,0)</f>
        <v/>
      </c>
      <c r="C115" s="4" t="inlineStr">
        <is>
          <t>W (min):</t>
        </is>
      </c>
      <c r="D115" s="13">
        <f>B115*60</f>
        <v/>
      </c>
    </row>
    <row r="117">
      <c r="A117" s="3" t="inlineStr">
        <is>
          <t>Fila F4  —  G/G/1/20</t>
        </is>
      </c>
    </row>
    <row r="118">
      <c r="A118" s="4" t="inlineStr">
        <is>
          <t>Servidores (c):</t>
        </is>
      </c>
      <c r="B118" s="5" t="n">
        <v>1</v>
      </c>
      <c r="C118" s="4" t="inlineStr">
        <is>
          <t>Capacidade (K):</t>
        </is>
      </c>
      <c r="D118" s="5" t="n">
        <v>20</v>
      </c>
      <c r="E118" s="4" t="inlineStr">
        <is>
          <t>Perdas:</t>
        </is>
      </c>
      <c r="F118" s="5" t="n">
        <v>0</v>
      </c>
    </row>
    <row r="119">
      <c r="A119" s="4" t="inlineStr">
        <is>
          <t>t_min (min):</t>
        </is>
      </c>
      <c r="B119" s="5" t="n">
        <v>3</v>
      </c>
      <c r="C119" s="4" t="inlineStr">
        <is>
          <t>t_max (min):</t>
        </is>
      </c>
      <c r="D119" s="5" t="n">
        <v>7</v>
      </c>
      <c r="E119" s="4" t="inlineStr">
        <is>
          <t>μ (pac/h):</t>
        </is>
      </c>
      <c r="F119" s="6">
        <f>60/AVERAGE($B$119,$D$119)</f>
        <v/>
      </c>
    </row>
    <row r="121">
      <c r="A121" s="7" t="inlineStr">
        <is>
          <t>Estado (i)</t>
        </is>
      </c>
      <c r="B121" s="7" t="inlineStr">
        <is>
          <t>P(i)  [entrada]</t>
        </is>
      </c>
      <c r="C121" s="7" t="inlineStr">
        <is>
          <t>i · P(i)</t>
        </is>
      </c>
      <c r="D121" s="7" t="inlineStr">
        <is>
          <t>min(i,c)·μ·P(i)</t>
        </is>
      </c>
      <c r="E121" s="7" t="inlineStr">
        <is>
          <t>min(i,c)/c · P(i)</t>
        </is>
      </c>
    </row>
    <row r="122">
      <c r="A122" s="8" t="n">
        <v>0</v>
      </c>
      <c r="B122" s="9" t="n">
        <v>0.9681133081481927</v>
      </c>
      <c r="C122" s="10">
        <f>A122*B122</f>
        <v/>
      </c>
      <c r="D122" s="10">
        <f>MIN(A122,$B$118)*$F$119*B122</f>
        <v/>
      </c>
      <c r="E122" s="10">
        <f>MIN(A122,$B$118)/$B$118*B122</f>
        <v/>
      </c>
    </row>
    <row r="123">
      <c r="A123" s="8" t="n">
        <v>1</v>
      </c>
      <c r="B123" s="9" t="n">
        <v>0.03150310339865299</v>
      </c>
      <c r="C123" s="10">
        <f>A123*B123</f>
        <v/>
      </c>
      <c r="D123" s="10">
        <f>MIN(A123,$B$118)*$F$119*B123</f>
        <v/>
      </c>
      <c r="E123" s="10">
        <f>MIN(A123,$B$118)/$B$118*B123</f>
        <v/>
      </c>
    </row>
    <row r="124">
      <c r="A124" s="8" t="n">
        <v>2</v>
      </c>
      <c r="B124" s="9" t="n">
        <v>0.0003835884531543675</v>
      </c>
      <c r="C124" s="10">
        <f>A124*B124</f>
        <v/>
      </c>
      <c r="D124" s="10">
        <f>MIN(A124,$B$118)*$F$119*B124</f>
        <v/>
      </c>
      <c r="E124" s="10">
        <f>MIN(A124,$B$118)/$B$118*B124</f>
        <v/>
      </c>
    </row>
    <row r="125">
      <c r="A125" s="8" t="n">
        <v>3</v>
      </c>
      <c r="B125" s="9" t="n">
        <v>0</v>
      </c>
      <c r="C125" s="10">
        <f>A125*B125</f>
        <v/>
      </c>
      <c r="D125" s="10">
        <f>MIN(A125,$B$118)*$F$119*B125</f>
        <v/>
      </c>
      <c r="E125" s="10">
        <f>MIN(A125,$B$118)/$B$118*B125</f>
        <v/>
      </c>
    </row>
    <row r="126">
      <c r="A126" s="8" t="n">
        <v>4</v>
      </c>
      <c r="B126" s="9" t="n">
        <v>0</v>
      </c>
      <c r="C126" s="10">
        <f>A126*B126</f>
        <v/>
      </c>
      <c r="D126" s="10">
        <f>MIN(A126,$B$118)*$F$119*B126</f>
        <v/>
      </c>
      <c r="E126" s="10">
        <f>MIN(A126,$B$118)/$B$118*B126</f>
        <v/>
      </c>
    </row>
    <row r="127">
      <c r="A127" s="8" t="n">
        <v>5</v>
      </c>
      <c r="B127" s="9" t="n">
        <v>0</v>
      </c>
      <c r="C127" s="10">
        <f>A127*B127</f>
        <v/>
      </c>
      <c r="D127" s="10">
        <f>MIN(A127,$B$118)*$F$119*B127</f>
        <v/>
      </c>
      <c r="E127" s="10">
        <f>MIN(A127,$B$118)/$B$118*B127</f>
        <v/>
      </c>
    </row>
    <row r="128">
      <c r="A128" s="8" t="n">
        <v>6</v>
      </c>
      <c r="B128" s="9" t="n">
        <v>0</v>
      </c>
      <c r="C128" s="10">
        <f>A128*B128</f>
        <v/>
      </c>
      <c r="D128" s="10">
        <f>MIN(A128,$B$118)*$F$119*B128</f>
        <v/>
      </c>
      <c r="E128" s="10">
        <f>MIN(A128,$B$118)/$B$118*B128</f>
        <v/>
      </c>
    </row>
    <row r="129">
      <c r="A129" s="8" t="n">
        <v>7</v>
      </c>
      <c r="B129" s="9" t="n">
        <v>0</v>
      </c>
      <c r="C129" s="10">
        <f>A129*B129</f>
        <v/>
      </c>
      <c r="D129" s="10">
        <f>MIN(A129,$B$118)*$F$119*B129</f>
        <v/>
      </c>
      <c r="E129" s="10">
        <f>MIN(A129,$B$118)/$B$118*B129</f>
        <v/>
      </c>
    </row>
    <row r="130">
      <c r="A130" s="8" t="n">
        <v>8</v>
      </c>
      <c r="B130" s="9" t="n">
        <v>0</v>
      </c>
      <c r="C130" s="10">
        <f>A130*B130</f>
        <v/>
      </c>
      <c r="D130" s="10">
        <f>MIN(A130,$B$118)*$F$119*B130</f>
        <v/>
      </c>
      <c r="E130" s="10">
        <f>MIN(A130,$B$118)/$B$118*B130</f>
        <v/>
      </c>
    </row>
    <row r="131">
      <c r="A131" s="8" t="n">
        <v>9</v>
      </c>
      <c r="B131" s="9" t="n">
        <v>0</v>
      </c>
      <c r="C131" s="10">
        <f>A131*B131</f>
        <v/>
      </c>
      <c r="D131" s="10">
        <f>MIN(A131,$B$118)*$F$119*B131</f>
        <v/>
      </c>
      <c r="E131" s="10">
        <f>MIN(A131,$B$118)/$B$118*B131</f>
        <v/>
      </c>
    </row>
    <row r="132">
      <c r="A132" s="8" t="n">
        <v>10</v>
      </c>
      <c r="B132" s="9" t="n">
        <v>0</v>
      </c>
      <c r="C132" s="10">
        <f>A132*B132</f>
        <v/>
      </c>
      <c r="D132" s="10">
        <f>MIN(A132,$B$118)*$F$119*B132</f>
        <v/>
      </c>
      <c r="E132" s="10">
        <f>MIN(A132,$B$118)/$B$118*B132</f>
        <v/>
      </c>
    </row>
    <row r="133">
      <c r="A133" s="8" t="n">
        <v>11</v>
      </c>
      <c r="B133" s="9" t="n">
        <v>0</v>
      </c>
      <c r="C133" s="10">
        <f>A133*B133</f>
        <v/>
      </c>
      <c r="D133" s="10">
        <f>MIN(A133,$B$118)*$F$119*B133</f>
        <v/>
      </c>
      <c r="E133" s="10">
        <f>MIN(A133,$B$118)/$B$118*B133</f>
        <v/>
      </c>
    </row>
    <row r="134">
      <c r="A134" s="8" t="n">
        <v>12</v>
      </c>
      <c r="B134" s="9" t="n">
        <v>0</v>
      </c>
      <c r="C134" s="10">
        <f>A134*B134</f>
        <v/>
      </c>
      <c r="D134" s="10">
        <f>MIN(A134,$B$118)*$F$119*B134</f>
        <v/>
      </c>
      <c r="E134" s="10">
        <f>MIN(A134,$B$118)/$B$118*B134</f>
        <v/>
      </c>
    </row>
    <row r="135">
      <c r="A135" s="8" t="n">
        <v>13</v>
      </c>
      <c r="B135" s="9" t="n">
        <v>0</v>
      </c>
      <c r="C135" s="10">
        <f>A135*B135</f>
        <v/>
      </c>
      <c r="D135" s="10">
        <f>MIN(A135,$B$118)*$F$119*B135</f>
        <v/>
      </c>
      <c r="E135" s="10">
        <f>MIN(A135,$B$118)/$B$118*B135</f>
        <v/>
      </c>
    </row>
    <row r="136">
      <c r="A136" s="8" t="n">
        <v>14</v>
      </c>
      <c r="B136" s="9" t="n">
        <v>0</v>
      </c>
      <c r="C136" s="10">
        <f>A136*B136</f>
        <v/>
      </c>
      <c r="D136" s="10">
        <f>MIN(A136,$B$118)*$F$119*B136</f>
        <v/>
      </c>
      <c r="E136" s="10">
        <f>MIN(A136,$B$118)/$B$118*B136</f>
        <v/>
      </c>
    </row>
    <row r="137">
      <c r="A137" s="8" t="n">
        <v>15</v>
      </c>
      <c r="B137" s="9" t="n">
        <v>0</v>
      </c>
      <c r="C137" s="10">
        <f>A137*B137</f>
        <v/>
      </c>
      <c r="D137" s="10">
        <f>MIN(A137,$B$118)*$F$119*B137</f>
        <v/>
      </c>
      <c r="E137" s="10">
        <f>MIN(A137,$B$118)/$B$118*B137</f>
        <v/>
      </c>
    </row>
    <row r="138">
      <c r="A138" s="8" t="n">
        <v>16</v>
      </c>
      <c r="B138" s="9" t="n">
        <v>0</v>
      </c>
      <c r="C138" s="10">
        <f>A138*B138</f>
        <v/>
      </c>
      <c r="D138" s="10">
        <f>MIN(A138,$B$118)*$F$119*B138</f>
        <v/>
      </c>
      <c r="E138" s="10">
        <f>MIN(A138,$B$118)/$B$118*B138</f>
        <v/>
      </c>
    </row>
    <row r="139">
      <c r="A139" s="8" t="n">
        <v>17</v>
      </c>
      <c r="B139" s="9" t="n">
        <v>0</v>
      </c>
      <c r="C139" s="10">
        <f>A139*B139</f>
        <v/>
      </c>
      <c r="D139" s="10">
        <f>MIN(A139,$B$118)*$F$119*B139</f>
        <v/>
      </c>
      <c r="E139" s="10">
        <f>MIN(A139,$B$118)/$B$118*B139</f>
        <v/>
      </c>
    </row>
    <row r="140">
      <c r="A140" s="8" t="n">
        <v>18</v>
      </c>
      <c r="B140" s="9" t="n">
        <v>0</v>
      </c>
      <c r="C140" s="10">
        <f>A140*B140</f>
        <v/>
      </c>
      <c r="D140" s="10">
        <f>MIN(A140,$B$118)*$F$119*B140</f>
        <v/>
      </c>
      <c r="E140" s="10">
        <f>MIN(A140,$B$118)/$B$118*B140</f>
        <v/>
      </c>
    </row>
    <row r="141">
      <c r="A141" s="8" t="n">
        <v>19</v>
      </c>
      <c r="B141" s="9" t="n">
        <v>0</v>
      </c>
      <c r="C141" s="10">
        <f>A141*B141</f>
        <v/>
      </c>
      <c r="D141" s="10">
        <f>MIN(A141,$B$118)*$F$119*B141</f>
        <v/>
      </c>
      <c r="E141" s="10">
        <f>MIN(A141,$B$118)/$B$118*B141</f>
        <v/>
      </c>
    </row>
    <row r="142">
      <c r="A142" s="8" t="n">
        <v>20</v>
      </c>
      <c r="B142" s="9" t="n">
        <v>0</v>
      </c>
      <c r="C142" s="10">
        <f>A142*B142</f>
        <v/>
      </c>
      <c r="D142" s="10">
        <f>MIN(A142,$B$118)*$F$119*B142</f>
        <v/>
      </c>
      <c r="E142" s="10">
        <f>MIN(A142,$B$118)/$B$118*B142</f>
        <v/>
      </c>
    </row>
    <row r="143">
      <c r="A143" s="4" t="inlineStr">
        <is>
          <t>TOTAL</t>
        </is>
      </c>
      <c r="B143" s="11">
        <f>SUM(B122:B142)</f>
        <v/>
      </c>
      <c r="C143" s="11">
        <f>SUM(C122:C142)</f>
        <v/>
      </c>
      <c r="D143" s="11">
        <f>SUM(D122:D142)</f>
        <v/>
      </c>
      <c r="E143" s="11">
        <f>SUM(E122:E142)</f>
        <v/>
      </c>
    </row>
    <row r="144">
      <c r="A144" s="12" t="inlineStr"/>
      <c r="B144" s="12" t="inlineStr">
        <is>
          <t>Σ P(i)</t>
        </is>
      </c>
      <c r="C144" s="12" t="inlineStr">
        <is>
          <t>N — pop. média</t>
        </is>
      </c>
      <c r="D144" s="12" t="inlineStr">
        <is>
          <t>D — vazão (pac/h)</t>
        </is>
      </c>
      <c r="E144" s="12" t="inlineStr">
        <is>
          <t>U — utilização</t>
        </is>
      </c>
    </row>
    <row r="145">
      <c r="A145" s="4" t="inlineStr">
        <is>
          <t>W (h):</t>
        </is>
      </c>
      <c r="B145" s="10">
        <f>IF(D143&gt;0,C143/D143,0)</f>
        <v/>
      </c>
      <c r="C145" s="4" t="inlineStr">
        <is>
          <t>W (min):</t>
        </is>
      </c>
      <c r="D145" s="13">
        <f>B145*60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2" customWidth="1" min="5" max="5"/>
    <col width="16" customWidth="1" min="6" max="6"/>
  </cols>
  <sheetData>
    <row r="1">
      <c r="A1" s="1" t="inlineStr">
        <is>
          <t>Modelo Melhoria — Aeroporto (Simulação)</t>
        </is>
      </c>
    </row>
    <row r="2">
      <c r="A2" s="2" t="inlineStr">
        <is>
          <t>Celulas azuis = P(i) obtidas do simulador.  Celulas verdes = calculadas automaticamente pelas formulas.</t>
        </is>
      </c>
    </row>
    <row r="4">
      <c r="A4" s="3" t="inlineStr">
        <is>
          <t>Fila F1  —  G/G/2/40</t>
        </is>
      </c>
    </row>
    <row r="5">
      <c r="A5" s="4" t="inlineStr">
        <is>
          <t>Servidores (c):</t>
        </is>
      </c>
      <c r="B5" s="5" t="n">
        <v>2</v>
      </c>
      <c r="C5" s="4" t="inlineStr">
        <is>
          <t>Capacidade (K):</t>
        </is>
      </c>
      <c r="D5" s="5" t="n">
        <v>40</v>
      </c>
      <c r="E5" s="4" t="inlineStr">
        <is>
          <t>Perdas:</t>
        </is>
      </c>
      <c r="F5" s="5" t="n">
        <v>54425</v>
      </c>
    </row>
    <row r="6">
      <c r="A6" s="4" t="inlineStr">
        <is>
          <t>t_min (min):</t>
        </is>
      </c>
      <c r="B6" s="5" t="n">
        <v>10</v>
      </c>
      <c r="C6" s="4" t="inlineStr">
        <is>
          <t>t_max (min):</t>
        </is>
      </c>
      <c r="D6" s="5" t="n">
        <v>30</v>
      </c>
      <c r="E6" s="4" t="inlineStr">
        <is>
          <t>μ (pac/h):</t>
        </is>
      </c>
      <c r="F6" s="6">
        <f>60/AVERAGE($B$6,$D$6)</f>
        <v/>
      </c>
    </row>
    <row r="8">
      <c r="A8" s="7" t="inlineStr">
        <is>
          <t>Estado (i)</t>
        </is>
      </c>
      <c r="B8" s="7" t="inlineStr">
        <is>
          <t>P(i)  [entrada]</t>
        </is>
      </c>
      <c r="C8" s="7" t="inlineStr">
        <is>
          <t>i · P(i)</t>
        </is>
      </c>
      <c r="D8" s="7" t="inlineStr">
        <is>
          <t>min(i,c)·μ·P(i)</t>
        </is>
      </c>
      <c r="E8" s="7" t="inlineStr">
        <is>
          <t>min(i,c)/c · P(i)</t>
        </is>
      </c>
    </row>
    <row r="9">
      <c r="A9" s="8" t="n">
        <v>0</v>
      </c>
      <c r="B9" s="9" t="n">
        <v>1.05171072300603e-05</v>
      </c>
      <c r="C9" s="10">
        <f>A9*B9</f>
        <v/>
      </c>
      <c r="D9" s="10">
        <f>MIN(A9,$B$5)*$F$6*B9</f>
        <v/>
      </c>
      <c r="E9" s="10">
        <f>MIN(A9,$B$5)/$B$5*B9</f>
        <v/>
      </c>
    </row>
    <row r="10">
      <c r="A10" s="8" t="n">
        <v>1</v>
      </c>
      <c r="B10" s="9" t="n">
        <v>1.665702475171289e-05</v>
      </c>
      <c r="C10" s="10">
        <f>A10*B10</f>
        <v/>
      </c>
      <c r="D10" s="10">
        <f>MIN(A10,$B$5)*$F$6*B10</f>
        <v/>
      </c>
      <c r="E10" s="10">
        <f>MIN(A10,$B$5)/$B$5*B10</f>
        <v/>
      </c>
    </row>
    <row r="11">
      <c r="A11" s="8" t="n">
        <v>2</v>
      </c>
      <c r="B11" s="9" t="n">
        <v>1.230734244274257e-05</v>
      </c>
      <c r="C11" s="10">
        <f>A11*B11</f>
        <v/>
      </c>
      <c r="D11" s="10">
        <f>MIN(A11,$B$5)*$F$6*B11</f>
        <v/>
      </c>
      <c r="E11" s="10">
        <f>MIN(A11,$B$5)/$B$5*B11</f>
        <v/>
      </c>
    </row>
    <row r="12">
      <c r="A12" s="8" t="n">
        <v>3</v>
      </c>
      <c r="B12" s="9" t="n">
        <v>1.742469272029632e-05</v>
      </c>
      <c r="C12" s="10">
        <f>A12*B12</f>
        <v/>
      </c>
      <c r="D12" s="10">
        <f>MIN(A12,$B$5)*$F$6*B12</f>
        <v/>
      </c>
      <c r="E12" s="10">
        <f>MIN(A12,$B$5)/$B$5*B12</f>
        <v/>
      </c>
    </row>
    <row r="13">
      <c r="A13" s="8" t="n">
        <v>4</v>
      </c>
      <c r="B13" s="9" t="n">
        <v>1.959766218609303e-05</v>
      </c>
      <c r="C13" s="10">
        <f>A13*B13</f>
        <v/>
      </c>
      <c r="D13" s="10">
        <f>MIN(A13,$B$5)*$F$6*B13</f>
        <v/>
      </c>
      <c r="E13" s="10">
        <f>MIN(A13,$B$5)/$B$5*B13</f>
        <v/>
      </c>
    </row>
    <row r="14">
      <c r="A14" s="8" t="n">
        <v>5</v>
      </c>
      <c r="B14" s="9" t="n">
        <v>1.448178838616102e-05</v>
      </c>
      <c r="C14" s="10">
        <f>A14*B14</f>
        <v/>
      </c>
      <c r="D14" s="10">
        <f>MIN(A14,$B$5)*$F$6*B14</f>
        <v/>
      </c>
      <c r="E14" s="10">
        <f>MIN(A14,$B$5)/$B$5*B14</f>
        <v/>
      </c>
    </row>
    <row r="15">
      <c r="A15" s="8" t="n">
        <v>6</v>
      </c>
      <c r="B15" s="9" t="n">
        <v>2.907726081058291e-05</v>
      </c>
      <c r="C15" s="10">
        <f>A15*B15</f>
        <v/>
      </c>
      <c r="D15" s="10">
        <f>MIN(A15,$B$5)*$F$6*B15</f>
        <v/>
      </c>
      <c r="E15" s="10">
        <f>MIN(A15,$B$5)/$B$5*B15</f>
        <v/>
      </c>
    </row>
    <row r="16">
      <c r="A16" s="8" t="n">
        <v>7</v>
      </c>
      <c r="B16" s="9" t="n">
        <v>1.913331539949872e-05</v>
      </c>
      <c r="C16" s="10">
        <f>A16*B16</f>
        <v/>
      </c>
      <c r="D16" s="10">
        <f>MIN(A16,$B$5)*$F$6*B16</f>
        <v/>
      </c>
      <c r="E16" s="10">
        <f>MIN(A16,$B$5)/$B$5*B16</f>
        <v/>
      </c>
    </row>
    <row r="17">
      <c r="A17" s="8" t="n">
        <v>8</v>
      </c>
      <c r="B17" s="9" t="n">
        <v>1.527682837889782e-05</v>
      </c>
      <c r="C17" s="10">
        <f>A17*B17</f>
        <v/>
      </c>
      <c r="D17" s="10">
        <f>MIN(A17,$B$5)*$F$6*B17</f>
        <v/>
      </c>
      <c r="E17" s="10">
        <f>MIN(A17,$B$5)/$B$5*B17</f>
        <v/>
      </c>
    </row>
    <row r="18">
      <c r="A18" s="8" t="n">
        <v>9</v>
      </c>
      <c r="B18" s="9" t="n">
        <v>1.320077772393459e-05</v>
      </c>
      <c r="C18" s="10">
        <f>A18*B18</f>
        <v/>
      </c>
      <c r="D18" s="10">
        <f>MIN(A18,$B$5)*$F$6*B18</f>
        <v/>
      </c>
      <c r="E18" s="10">
        <f>MIN(A18,$B$5)/$B$5*B18</f>
        <v/>
      </c>
    </row>
    <row r="19">
      <c r="A19" s="8" t="n">
        <v>10</v>
      </c>
      <c r="B19" s="9" t="n">
        <v>1.183637920910801e-05</v>
      </c>
      <c r="C19" s="10">
        <f>A19*B19</f>
        <v/>
      </c>
      <c r="D19" s="10">
        <f>MIN(A19,$B$5)*$F$6*B19</f>
        <v/>
      </c>
      <c r="E19" s="10">
        <f>MIN(A19,$B$5)/$B$5*B19</f>
        <v/>
      </c>
    </row>
    <row r="20">
      <c r="A20" s="8" t="n">
        <v>11</v>
      </c>
      <c r="B20" s="9" t="n">
        <v>1.331931938475199e-05</v>
      </c>
      <c r="C20" s="10">
        <f>A20*B20</f>
        <v/>
      </c>
      <c r="D20" s="10">
        <f>MIN(A20,$B$5)*$F$6*B20</f>
        <v/>
      </c>
      <c r="E20" s="10">
        <f>MIN(A20,$B$5)/$B$5*B20</f>
        <v/>
      </c>
    </row>
    <row r="21">
      <c r="A21" s="8" t="n">
        <v>12</v>
      </c>
      <c r="B21" s="9" t="n">
        <v>1.315169092068324e-05</v>
      </c>
      <c r="C21" s="10">
        <f>A21*B21</f>
        <v/>
      </c>
      <c r="D21" s="10">
        <f>MIN(A21,$B$5)*$F$6*B21</f>
        <v/>
      </c>
      <c r="E21" s="10">
        <f>MIN(A21,$B$5)/$B$5*B21</f>
        <v/>
      </c>
    </row>
    <row r="22">
      <c r="A22" s="8" t="n">
        <v>13</v>
      </c>
      <c r="B22" s="9" t="n">
        <v>1.642520033338687e-05</v>
      </c>
      <c r="C22" s="10">
        <f>A22*B22</f>
        <v/>
      </c>
      <c r="D22" s="10">
        <f>MIN(A22,$B$5)*$F$6*B22</f>
        <v/>
      </c>
      <c r="E22" s="10">
        <f>MIN(A22,$B$5)/$B$5*B22</f>
        <v/>
      </c>
    </row>
    <row r="23">
      <c r="A23" s="8" t="n">
        <v>14</v>
      </c>
      <c r="B23" s="9" t="n">
        <v>1.541045860703329e-05</v>
      </c>
      <c r="C23" s="10">
        <f>A23*B23</f>
        <v/>
      </c>
      <c r="D23" s="10">
        <f>MIN(A23,$B$5)*$F$6*B23</f>
        <v/>
      </c>
      <c r="E23" s="10">
        <f>MIN(A23,$B$5)/$B$5*B23</f>
        <v/>
      </c>
    </row>
    <row r="24">
      <c r="A24" s="8" t="n">
        <v>15</v>
      </c>
      <c r="B24" s="9" t="n">
        <v>2.801669646200816e-05</v>
      </c>
      <c r="C24" s="10">
        <f>A24*B24</f>
        <v/>
      </c>
      <c r="D24" s="10">
        <f>MIN(A24,$B$5)*$F$6*B24</f>
        <v/>
      </c>
      <c r="E24" s="10">
        <f>MIN(A24,$B$5)/$B$5*B24</f>
        <v/>
      </c>
    </row>
    <row r="25">
      <c r="A25" s="8" t="n">
        <v>16</v>
      </c>
      <c r="B25" s="9" t="n">
        <v>1.644367702045379e-05</v>
      </c>
      <c r="C25" s="10">
        <f>A25*B25</f>
        <v/>
      </c>
      <c r="D25" s="10">
        <f>MIN(A25,$B$5)*$F$6*B25</f>
        <v/>
      </c>
      <c r="E25" s="10">
        <f>MIN(A25,$B$5)/$B$5*B25</f>
        <v/>
      </c>
    </row>
    <row r="26">
      <c r="A26" s="8" t="n">
        <v>17</v>
      </c>
      <c r="B26" s="9" t="n">
        <v>2.803185739701521e-05</v>
      </c>
      <c r="C26" s="10">
        <f>A26*B26</f>
        <v/>
      </c>
      <c r="D26" s="10">
        <f>MIN(A26,$B$5)*$F$6*B26</f>
        <v/>
      </c>
      <c r="E26" s="10">
        <f>MIN(A26,$B$5)/$B$5*B26</f>
        <v/>
      </c>
    </row>
    <row r="27">
      <c r="A27" s="8" t="n">
        <v>18</v>
      </c>
      <c r="B27" s="9" t="n">
        <v>2.39029652866508e-05</v>
      </c>
      <c r="C27" s="10">
        <f>A27*B27</f>
        <v/>
      </c>
      <c r="D27" s="10">
        <f>MIN(A27,$B$5)*$F$6*B27</f>
        <v/>
      </c>
      <c r="E27" s="10">
        <f>MIN(A27,$B$5)/$B$5*B27</f>
        <v/>
      </c>
    </row>
    <row r="28">
      <c r="A28" s="8" t="n">
        <v>19</v>
      </c>
      <c r="B28" s="9" t="n">
        <v>1.832390283871405e-05</v>
      </c>
      <c r="C28" s="10">
        <f>A28*B28</f>
        <v/>
      </c>
      <c r="D28" s="10">
        <f>MIN(A28,$B$5)*$F$6*B28</f>
        <v/>
      </c>
      <c r="E28" s="10">
        <f>MIN(A28,$B$5)/$B$5*B28</f>
        <v/>
      </c>
    </row>
    <row r="29">
      <c r="A29" s="8" t="n">
        <v>20</v>
      </c>
      <c r="B29" s="9" t="n">
        <v>1.731727072333341e-05</v>
      </c>
      <c r="C29" s="10">
        <f>A29*B29</f>
        <v/>
      </c>
      <c r="D29" s="10">
        <f>MIN(A29,$B$5)*$F$6*B29</f>
        <v/>
      </c>
      <c r="E29" s="10">
        <f>MIN(A29,$B$5)/$B$5*B29</f>
        <v/>
      </c>
    </row>
    <row r="30">
      <c r="A30" s="8" t="n">
        <v>21</v>
      </c>
      <c r="B30" s="9" t="n">
        <v>2.898111005988354e-05</v>
      </c>
      <c r="C30" s="10">
        <f>A30*B30</f>
        <v/>
      </c>
      <c r="D30" s="10">
        <f>MIN(A30,$B$5)*$F$6*B30</f>
        <v/>
      </c>
      <c r="E30" s="10">
        <f>MIN(A30,$B$5)/$B$5*B30</f>
        <v/>
      </c>
    </row>
    <row r="31">
      <c r="A31" s="8" t="n">
        <v>22</v>
      </c>
      <c r="B31" s="9" t="n">
        <v>1.322942983411343e-05</v>
      </c>
      <c r="C31" s="10">
        <f>A31*B31</f>
        <v/>
      </c>
      <c r="D31" s="10">
        <f>MIN(A31,$B$5)*$F$6*B31</f>
        <v/>
      </c>
      <c r="E31" s="10">
        <f>MIN(A31,$B$5)/$B$5*B31</f>
        <v/>
      </c>
    </row>
    <row r="32">
      <c r="A32" s="8" t="n">
        <v>23</v>
      </c>
      <c r="B32" s="9" t="n">
        <v>1.5139394853876e-05</v>
      </c>
      <c r="C32" s="10">
        <f>A32*B32</f>
        <v/>
      </c>
      <c r="D32" s="10">
        <f>MIN(A32,$B$5)*$F$6*B32</f>
        <v/>
      </c>
      <c r="E32" s="10">
        <f>MIN(A32,$B$5)/$B$5*B32</f>
        <v/>
      </c>
    </row>
    <row r="33">
      <c r="A33" s="8" t="n">
        <v>24</v>
      </c>
      <c r="B33" s="9" t="n">
        <v>1.801444953864269e-05</v>
      </c>
      <c r="C33" s="10">
        <f>A33*B33</f>
        <v/>
      </c>
      <c r="D33" s="10">
        <f>MIN(A33,$B$5)*$F$6*B33</f>
        <v/>
      </c>
      <c r="E33" s="10">
        <f>MIN(A33,$B$5)/$B$5*B33</f>
        <v/>
      </c>
    </row>
    <row r="34">
      <c r="A34" s="8" t="n">
        <v>25</v>
      </c>
      <c r="B34" s="9" t="n">
        <v>1.400012296590084e-05</v>
      </c>
      <c r="C34" s="10">
        <f>A34*B34</f>
        <v/>
      </c>
      <c r="D34" s="10">
        <f>MIN(A34,$B$5)*$F$6*B34</f>
        <v/>
      </c>
      <c r="E34" s="10">
        <f>MIN(A34,$B$5)/$B$5*B34</f>
        <v/>
      </c>
    </row>
    <row r="35">
      <c r="A35" s="8" t="n">
        <v>26</v>
      </c>
      <c r="B35" s="9" t="n">
        <v>2.00235672903693e-05</v>
      </c>
      <c r="C35" s="10">
        <f>A35*B35</f>
        <v/>
      </c>
      <c r="D35" s="10">
        <f>MIN(A35,$B$5)*$F$6*B35</f>
        <v/>
      </c>
      <c r="E35" s="10">
        <f>MIN(A35,$B$5)/$B$5*B35</f>
        <v/>
      </c>
    </row>
    <row r="36">
      <c r="A36" s="8" t="n">
        <v>27</v>
      </c>
      <c r="B36" s="9" t="n">
        <v>1.507428380401526e-05</v>
      </c>
      <c r="C36" s="10">
        <f>A36*B36</f>
        <v/>
      </c>
      <c r="D36" s="10">
        <f>MIN(A36,$B$5)*$F$6*B36</f>
        <v/>
      </c>
      <c r="E36" s="10">
        <f>MIN(A36,$B$5)/$B$5*B36</f>
        <v/>
      </c>
    </row>
    <row r="37">
      <c r="A37" s="8" t="n">
        <v>28</v>
      </c>
      <c r="B37" s="9" t="n">
        <v>1.653770776843585e-05</v>
      </c>
      <c r="C37" s="10">
        <f>A37*B37</f>
        <v/>
      </c>
      <c r="D37" s="10">
        <f>MIN(A37,$B$5)*$F$6*B37</f>
        <v/>
      </c>
      <c r="E37" s="10">
        <f>MIN(A37,$B$5)/$B$5*B37</f>
        <v/>
      </c>
    </row>
    <row r="38">
      <c r="A38" s="8" t="n">
        <v>29</v>
      </c>
      <c r="B38" s="9" t="n">
        <v>3.333249948387648e-05</v>
      </c>
      <c r="C38" s="10">
        <f>A38*B38</f>
        <v/>
      </c>
      <c r="D38" s="10">
        <f>MIN(A38,$B$5)*$F$6*B38</f>
        <v/>
      </c>
      <c r="E38" s="10">
        <f>MIN(A38,$B$5)/$B$5*B38</f>
        <v/>
      </c>
    </row>
    <row r="39">
      <c r="A39" s="8" t="n">
        <v>30</v>
      </c>
      <c r="B39" s="9" t="n">
        <v>1.538748239820637e-05</v>
      </c>
      <c r="C39" s="10">
        <f>A39*B39</f>
        <v/>
      </c>
      <c r="D39" s="10">
        <f>MIN(A39,$B$5)*$F$6*B39</f>
        <v/>
      </c>
      <c r="E39" s="10">
        <f>MIN(A39,$B$5)/$B$5*B39</f>
        <v/>
      </c>
    </row>
    <row r="40">
      <c r="A40" s="8" t="n">
        <v>31</v>
      </c>
      <c r="B40" s="9" t="n">
        <v>1.420593450109063e-05</v>
      </c>
      <c r="C40" s="10">
        <f>A40*B40</f>
        <v/>
      </c>
      <c r="D40" s="10">
        <f>MIN(A40,$B$5)*$F$6*B40</f>
        <v/>
      </c>
      <c r="E40" s="10">
        <f>MIN(A40,$B$5)/$B$5*B40</f>
        <v/>
      </c>
    </row>
    <row r="41">
      <c r="A41" s="8" t="n">
        <v>32</v>
      </c>
      <c r="B41" s="9" t="n">
        <v>2.036915837986766e-05</v>
      </c>
      <c r="C41" s="10">
        <f>A41*B41</f>
        <v/>
      </c>
      <c r="D41" s="10">
        <f>MIN(A41,$B$5)*$F$6*B41</f>
        <v/>
      </c>
      <c r="E41" s="10">
        <f>MIN(A41,$B$5)/$B$5*B41</f>
        <v/>
      </c>
    </row>
    <row r="42">
      <c r="A42" s="8" t="n">
        <v>33</v>
      </c>
      <c r="B42" s="9" t="n">
        <v>1.974277762223069e-05</v>
      </c>
      <c r="C42" s="10">
        <f>A42*B42</f>
        <v/>
      </c>
      <c r="D42" s="10">
        <f>MIN(A42,$B$5)*$F$6*B42</f>
        <v/>
      </c>
      <c r="E42" s="10">
        <f>MIN(A42,$B$5)/$B$5*B42</f>
        <v/>
      </c>
    </row>
    <row r="43">
      <c r="A43" s="8" t="n">
        <v>34</v>
      </c>
      <c r="B43" s="9" t="n">
        <v>2.102947626128871e-05</v>
      </c>
      <c r="C43" s="10">
        <f>A43*B43</f>
        <v/>
      </c>
      <c r="D43" s="10">
        <f>MIN(A43,$B$5)*$F$6*B43</f>
        <v/>
      </c>
      <c r="E43" s="10">
        <f>MIN(A43,$B$5)/$B$5*B43</f>
        <v/>
      </c>
    </row>
    <row r="44">
      <c r="A44" s="8" t="n">
        <v>35</v>
      </c>
      <c r="B44" s="9" t="n">
        <v>2.705125591593876e-05</v>
      </c>
      <c r="C44" s="10">
        <f>A44*B44</f>
        <v/>
      </c>
      <c r="D44" s="10">
        <f>MIN(A44,$B$5)*$F$6*B44</f>
        <v/>
      </c>
      <c r="E44" s="10">
        <f>MIN(A44,$B$5)/$B$5*B44</f>
        <v/>
      </c>
    </row>
    <row r="45">
      <c r="A45" s="8" t="n">
        <v>36</v>
      </c>
      <c r="B45" s="9" t="n">
        <v>2.512567112489027e-05</v>
      </c>
      <c r="C45" s="10">
        <f>A45*B45</f>
        <v/>
      </c>
      <c r="D45" s="10">
        <f>MIN(A45,$B$5)*$F$6*B45</f>
        <v/>
      </c>
      <c r="E45" s="10">
        <f>MIN(A45,$B$5)/$B$5*B45</f>
        <v/>
      </c>
    </row>
    <row r="46">
      <c r="A46" s="8" t="n">
        <v>37</v>
      </c>
      <c r="B46" s="9" t="n">
        <v>1.740549153639942e-05</v>
      </c>
      <c r="C46" s="10">
        <f>A46*B46</f>
        <v/>
      </c>
      <c r="D46" s="10">
        <f>MIN(A46,$B$5)*$F$6*B46</f>
        <v/>
      </c>
      <c r="E46" s="10">
        <f>MIN(A46,$B$5)/$B$5*B46</f>
        <v/>
      </c>
    </row>
    <row r="47">
      <c r="A47" s="8" t="n">
        <v>38</v>
      </c>
      <c r="B47" s="9" t="n">
        <v>0.001968827066076246</v>
      </c>
      <c r="C47" s="10">
        <f>A47*B47</f>
        <v/>
      </c>
      <c r="D47" s="10">
        <f>MIN(A47,$B$5)*$F$6*B47</f>
        <v/>
      </c>
      <c r="E47" s="10">
        <f>MIN(A47,$B$5)/$B$5*B47</f>
        <v/>
      </c>
    </row>
    <row r="48">
      <c r="A48" s="8" t="n">
        <v>39</v>
      </c>
      <c r="B48" s="9" t="n">
        <v>0.07979169073061497</v>
      </c>
      <c r="C48" s="10">
        <f>A48*B48</f>
        <v/>
      </c>
      <c r="D48" s="10">
        <f>MIN(A48,$B$5)*$F$6*B48</f>
        <v/>
      </c>
      <c r="E48" s="10">
        <f>MIN(A48,$B$5)/$B$5*B48</f>
        <v/>
      </c>
    </row>
    <row r="49">
      <c r="A49" s="8" t="n">
        <v>40</v>
      </c>
      <c r="B49" s="9" t="n">
        <v>0.9175349791717566</v>
      </c>
      <c r="C49" s="10">
        <f>A49*B49</f>
        <v/>
      </c>
      <c r="D49" s="10">
        <f>MIN(A49,$B$5)*$F$6*B49</f>
        <v/>
      </c>
      <c r="E49" s="10">
        <f>MIN(A49,$B$5)/$B$5*B49</f>
        <v/>
      </c>
    </row>
    <row r="50">
      <c r="A50" s="4" t="inlineStr">
        <is>
          <t>TOTAL</t>
        </is>
      </c>
      <c r="B50" s="11">
        <f>SUM(B9:B49)</f>
        <v/>
      </c>
      <c r="C50" s="11">
        <f>SUM(C9:C49)</f>
        <v/>
      </c>
      <c r="D50" s="11">
        <f>SUM(D9:D49)</f>
        <v/>
      </c>
      <c r="E50" s="11">
        <f>SUM(E9:E49)</f>
        <v/>
      </c>
    </row>
    <row r="51">
      <c r="A51" s="12" t="inlineStr"/>
      <c r="B51" s="12" t="inlineStr">
        <is>
          <t>Σ P(i)</t>
        </is>
      </c>
      <c r="C51" s="12" t="inlineStr">
        <is>
          <t>N — pop. média</t>
        </is>
      </c>
      <c r="D51" s="12" t="inlineStr">
        <is>
          <t>D — vazão (pac/h)</t>
        </is>
      </c>
      <c r="E51" s="12" t="inlineStr">
        <is>
          <t>U — utilização</t>
        </is>
      </c>
    </row>
    <row r="52">
      <c r="A52" s="4" t="inlineStr">
        <is>
          <t>W (h):</t>
        </is>
      </c>
      <c r="B52" s="10">
        <f>IF(D50&gt;0,C50/D50,0)</f>
        <v/>
      </c>
      <c r="C52" s="4" t="inlineStr">
        <is>
          <t>W (min):</t>
        </is>
      </c>
      <c r="D52" s="13">
        <f>B52*60</f>
        <v/>
      </c>
    </row>
    <row r="54">
      <c r="A54" s="3" t="inlineStr">
        <is>
          <t>Fila F2  —  G/G/2/35</t>
        </is>
      </c>
    </row>
    <row r="55">
      <c r="A55" s="4" t="inlineStr">
        <is>
          <t>Servidores (c):</t>
        </is>
      </c>
      <c r="B55" s="5" t="n">
        <v>2</v>
      </c>
      <c r="C55" s="4" t="inlineStr">
        <is>
          <t>Capacidade (K):</t>
        </is>
      </c>
      <c r="D55" s="5" t="n">
        <v>35</v>
      </c>
      <c r="E55" s="4" t="inlineStr">
        <is>
          <t>Perdas:</t>
        </is>
      </c>
      <c r="F55" s="5" t="n">
        <v>0</v>
      </c>
    </row>
    <row r="56">
      <c r="A56" s="4" t="inlineStr">
        <is>
          <t>t_min (min):</t>
        </is>
      </c>
      <c r="B56" s="5" t="n">
        <v>15</v>
      </c>
      <c r="C56" s="4" t="inlineStr">
        <is>
          <t>t_max (min):</t>
        </is>
      </c>
      <c r="D56" s="5" t="n">
        <v>40</v>
      </c>
      <c r="E56" s="4" t="inlineStr">
        <is>
          <t>μ (pac/h):</t>
        </is>
      </c>
      <c r="F56" s="6">
        <f>60/AVERAGE($B$56,$D$56)</f>
        <v/>
      </c>
    </row>
    <row r="58">
      <c r="A58" s="7" t="inlineStr">
        <is>
          <t>Estado (i)</t>
        </is>
      </c>
      <c r="B58" s="7" t="inlineStr">
        <is>
          <t>P(i)  [entrada]</t>
        </is>
      </c>
      <c r="C58" s="7" t="inlineStr">
        <is>
          <t>i · P(i)</t>
        </is>
      </c>
      <c r="D58" s="7" t="inlineStr">
        <is>
          <t>min(i,c)·μ·P(i)</t>
        </is>
      </c>
      <c r="E58" s="7" t="inlineStr">
        <is>
          <t>min(i,c)/c · P(i)</t>
        </is>
      </c>
    </row>
    <row r="59">
      <c r="A59" s="8" t="n">
        <v>0</v>
      </c>
      <c r="B59" s="9" t="n">
        <v>0.04669544094597408</v>
      </c>
      <c r="C59" s="10">
        <f>A59*B59</f>
        <v/>
      </c>
      <c r="D59" s="10">
        <f>MIN(A59,$B$55)*$F$56*B59</f>
        <v/>
      </c>
      <c r="E59" s="10">
        <f>MIN(A59,$B$55)/$B$55*B59</f>
        <v/>
      </c>
    </row>
    <row r="60">
      <c r="A60" s="8" t="n">
        <v>1</v>
      </c>
      <c r="B60" s="9" t="n">
        <v>0.1789932615498274</v>
      </c>
      <c r="C60" s="10">
        <f>A60*B60</f>
        <v/>
      </c>
      <c r="D60" s="10">
        <f>MIN(A60,$B$55)*$F$56*B60</f>
        <v/>
      </c>
      <c r="E60" s="10">
        <f>MIN(A60,$B$55)/$B$55*B60</f>
        <v/>
      </c>
    </row>
    <row r="61">
      <c r="A61" s="8" t="n">
        <v>2</v>
      </c>
      <c r="B61" s="9" t="n">
        <v>0.2766741190813017</v>
      </c>
      <c r="C61" s="10">
        <f>A61*B61</f>
        <v/>
      </c>
      <c r="D61" s="10">
        <f>MIN(A61,$B$55)*$F$56*B61</f>
        <v/>
      </c>
      <c r="E61" s="10">
        <f>MIN(A61,$B$55)/$B$55*B61</f>
        <v/>
      </c>
    </row>
    <row r="62">
      <c r="A62" s="8" t="n">
        <v>3</v>
      </c>
      <c r="B62" s="9" t="n">
        <v>0.2282307010935954</v>
      </c>
      <c r="C62" s="10">
        <f>A62*B62</f>
        <v/>
      </c>
      <c r="D62" s="10">
        <f>MIN(A62,$B$55)*$F$56*B62</f>
        <v/>
      </c>
      <c r="E62" s="10">
        <f>MIN(A62,$B$55)/$B$55*B62</f>
        <v/>
      </c>
    </row>
    <row r="63">
      <c r="A63" s="8" t="n">
        <v>4</v>
      </c>
      <c r="B63" s="9" t="n">
        <v>0.1176285956594343</v>
      </c>
      <c r="C63" s="10">
        <f>A63*B63</f>
        <v/>
      </c>
      <c r="D63" s="10">
        <f>MIN(A63,$B$55)*$F$56*B63</f>
        <v/>
      </c>
      <c r="E63" s="10">
        <f>MIN(A63,$B$55)/$B$55*B63</f>
        <v/>
      </c>
    </row>
    <row r="64">
      <c r="A64" s="8" t="n">
        <v>5</v>
      </c>
      <c r="B64" s="9" t="n">
        <v>0.06421424698079671</v>
      </c>
      <c r="C64" s="10">
        <f>A64*B64</f>
        <v/>
      </c>
      <c r="D64" s="10">
        <f>MIN(A64,$B$55)*$F$56*B64</f>
        <v/>
      </c>
      <c r="E64" s="10">
        <f>MIN(A64,$B$55)/$B$55*B64</f>
        <v/>
      </c>
    </row>
    <row r="65">
      <c r="A65" s="8" t="n">
        <v>6</v>
      </c>
      <c r="B65" s="9" t="n">
        <v>0.04023749990687078</v>
      </c>
      <c r="C65" s="10">
        <f>A65*B65</f>
        <v/>
      </c>
      <c r="D65" s="10">
        <f>MIN(A65,$B$55)*$F$56*B65</f>
        <v/>
      </c>
      <c r="E65" s="10">
        <f>MIN(A65,$B$55)/$B$55*B65</f>
        <v/>
      </c>
    </row>
    <row r="66">
      <c r="A66" s="8" t="n">
        <v>7</v>
      </c>
      <c r="B66" s="9" t="n">
        <v>0.02233902929649323</v>
      </c>
      <c r="C66" s="10">
        <f>A66*B66</f>
        <v/>
      </c>
      <c r="D66" s="10">
        <f>MIN(A66,$B$55)*$F$56*B66</f>
        <v/>
      </c>
      <c r="E66" s="10">
        <f>MIN(A66,$B$55)/$B$55*B66</f>
        <v/>
      </c>
    </row>
    <row r="67">
      <c r="A67" s="8" t="n">
        <v>8</v>
      </c>
      <c r="B67" s="9" t="n">
        <v>0.01025280990303737</v>
      </c>
      <c r="C67" s="10">
        <f>A67*B67</f>
        <v/>
      </c>
      <c r="D67" s="10">
        <f>MIN(A67,$B$55)*$F$56*B67</f>
        <v/>
      </c>
      <c r="E67" s="10">
        <f>MIN(A67,$B$55)/$B$55*B67</f>
        <v/>
      </c>
    </row>
    <row r="68">
      <c r="A68" s="8" t="n">
        <v>9</v>
      </c>
      <c r="B68" s="9" t="n">
        <v>0.005594933628872784</v>
      </c>
      <c r="C68" s="10">
        <f>A68*B68</f>
        <v/>
      </c>
      <c r="D68" s="10">
        <f>MIN(A68,$B$55)*$F$56*B68</f>
        <v/>
      </c>
      <c r="E68" s="10">
        <f>MIN(A68,$B$55)/$B$55*B68</f>
        <v/>
      </c>
    </row>
    <row r="69">
      <c r="A69" s="8" t="n">
        <v>10</v>
      </c>
      <c r="B69" s="9" t="n">
        <v>0.003561926481883947</v>
      </c>
      <c r="C69" s="10">
        <f>A69*B69</f>
        <v/>
      </c>
      <c r="D69" s="10">
        <f>MIN(A69,$B$55)*$F$56*B69</f>
        <v/>
      </c>
      <c r="E69" s="10">
        <f>MIN(A69,$B$55)/$B$55*B69</f>
        <v/>
      </c>
    </row>
    <row r="70">
      <c r="A70" s="8" t="n">
        <v>11</v>
      </c>
      <c r="B70" s="9" t="n">
        <v>0.003161690585526968</v>
      </c>
      <c r="C70" s="10">
        <f>A70*B70</f>
        <v/>
      </c>
      <c r="D70" s="10">
        <f>MIN(A70,$B$55)*$F$56*B70</f>
        <v/>
      </c>
      <c r="E70" s="10">
        <f>MIN(A70,$B$55)/$B$55*B70</f>
        <v/>
      </c>
    </row>
    <row r="71">
      <c r="A71" s="8" t="n">
        <v>12</v>
      </c>
      <c r="B71" s="9" t="n">
        <v>0.001698472866349389</v>
      </c>
      <c r="C71" s="10">
        <f>A71*B71</f>
        <v/>
      </c>
      <c r="D71" s="10">
        <f>MIN(A71,$B$55)*$F$56*B71</f>
        <v/>
      </c>
      <c r="E71" s="10">
        <f>MIN(A71,$B$55)/$B$55*B71</f>
        <v/>
      </c>
    </row>
    <row r="72">
      <c r="A72" s="8" t="n">
        <v>13</v>
      </c>
      <c r="B72" s="9" t="n">
        <v>0.0007085656536633674</v>
      </c>
      <c r="C72" s="10">
        <f>A72*B72</f>
        <v/>
      </c>
      <c r="D72" s="10">
        <f>MIN(A72,$B$55)*$F$56*B72</f>
        <v/>
      </c>
      <c r="E72" s="10">
        <f>MIN(A72,$B$55)/$B$55*B72</f>
        <v/>
      </c>
    </row>
    <row r="73">
      <c r="A73" s="8" t="n">
        <v>14</v>
      </c>
      <c r="B73" s="9" t="n">
        <v>8.706366372649313e-06</v>
      </c>
      <c r="C73" s="10">
        <f>A73*B73</f>
        <v/>
      </c>
      <c r="D73" s="10">
        <f>MIN(A73,$B$55)*$F$56*B73</f>
        <v/>
      </c>
      <c r="E73" s="10">
        <f>MIN(A73,$B$55)/$B$55*B73</f>
        <v/>
      </c>
    </row>
    <row r="74">
      <c r="A74" s="8" t="n">
        <v>15</v>
      </c>
      <c r="B74" s="9" t="n">
        <v>0</v>
      </c>
      <c r="C74" s="10">
        <f>A74*B74</f>
        <v/>
      </c>
      <c r="D74" s="10">
        <f>MIN(A74,$B$55)*$F$56*B74</f>
        <v/>
      </c>
      <c r="E74" s="10">
        <f>MIN(A74,$B$55)/$B$55*B74</f>
        <v/>
      </c>
    </row>
    <row r="75">
      <c r="A75" s="8" t="n">
        <v>16</v>
      </c>
      <c r="B75" s="9" t="n">
        <v>0</v>
      </c>
      <c r="C75" s="10">
        <f>A75*B75</f>
        <v/>
      </c>
      <c r="D75" s="10">
        <f>MIN(A75,$B$55)*$F$56*B75</f>
        <v/>
      </c>
      <c r="E75" s="10">
        <f>MIN(A75,$B$55)/$B$55*B75</f>
        <v/>
      </c>
    </row>
    <row r="76">
      <c r="A76" s="8" t="n">
        <v>17</v>
      </c>
      <c r="B76" s="9" t="n">
        <v>0</v>
      </c>
      <c r="C76" s="10">
        <f>A76*B76</f>
        <v/>
      </c>
      <c r="D76" s="10">
        <f>MIN(A76,$B$55)*$F$56*B76</f>
        <v/>
      </c>
      <c r="E76" s="10">
        <f>MIN(A76,$B$55)/$B$55*B76</f>
        <v/>
      </c>
    </row>
    <row r="77">
      <c r="A77" s="8" t="n">
        <v>18</v>
      </c>
      <c r="B77" s="9" t="n">
        <v>0</v>
      </c>
      <c r="C77" s="10">
        <f>A77*B77</f>
        <v/>
      </c>
      <c r="D77" s="10">
        <f>MIN(A77,$B$55)*$F$56*B77</f>
        <v/>
      </c>
      <c r="E77" s="10">
        <f>MIN(A77,$B$55)/$B$55*B77</f>
        <v/>
      </c>
    </row>
    <row r="78">
      <c r="A78" s="8" t="n">
        <v>19</v>
      </c>
      <c r="B78" s="9" t="n">
        <v>0</v>
      </c>
      <c r="C78" s="10">
        <f>A78*B78</f>
        <v/>
      </c>
      <c r="D78" s="10">
        <f>MIN(A78,$B$55)*$F$56*B78</f>
        <v/>
      </c>
      <c r="E78" s="10">
        <f>MIN(A78,$B$55)/$B$55*B78</f>
        <v/>
      </c>
    </row>
    <row r="79">
      <c r="A79" s="8" t="n">
        <v>20</v>
      </c>
      <c r="B79" s="9" t="n">
        <v>0</v>
      </c>
      <c r="C79" s="10">
        <f>A79*B79</f>
        <v/>
      </c>
      <c r="D79" s="10">
        <f>MIN(A79,$B$55)*$F$56*B79</f>
        <v/>
      </c>
      <c r="E79" s="10">
        <f>MIN(A79,$B$55)/$B$55*B79</f>
        <v/>
      </c>
    </row>
    <row r="80">
      <c r="A80" s="8" t="n">
        <v>21</v>
      </c>
      <c r="B80" s="9" t="n">
        <v>0</v>
      </c>
      <c r="C80" s="10">
        <f>A80*B80</f>
        <v/>
      </c>
      <c r="D80" s="10">
        <f>MIN(A80,$B$55)*$F$56*B80</f>
        <v/>
      </c>
      <c r="E80" s="10">
        <f>MIN(A80,$B$55)/$B$55*B80</f>
        <v/>
      </c>
    </row>
    <row r="81">
      <c r="A81" s="8" t="n">
        <v>22</v>
      </c>
      <c r="B81" s="9" t="n">
        <v>0</v>
      </c>
      <c r="C81" s="10">
        <f>A81*B81</f>
        <v/>
      </c>
      <c r="D81" s="10">
        <f>MIN(A81,$B$55)*$F$56*B81</f>
        <v/>
      </c>
      <c r="E81" s="10">
        <f>MIN(A81,$B$55)/$B$55*B81</f>
        <v/>
      </c>
    </row>
    <row r="82">
      <c r="A82" s="8" t="n">
        <v>23</v>
      </c>
      <c r="B82" s="9" t="n">
        <v>0</v>
      </c>
      <c r="C82" s="10">
        <f>A82*B82</f>
        <v/>
      </c>
      <c r="D82" s="10">
        <f>MIN(A82,$B$55)*$F$56*B82</f>
        <v/>
      </c>
      <c r="E82" s="10">
        <f>MIN(A82,$B$55)/$B$55*B82</f>
        <v/>
      </c>
    </row>
    <row r="83">
      <c r="A83" s="8" t="n">
        <v>24</v>
      </c>
      <c r="B83" s="9" t="n">
        <v>0</v>
      </c>
      <c r="C83" s="10">
        <f>A83*B83</f>
        <v/>
      </c>
      <c r="D83" s="10">
        <f>MIN(A83,$B$55)*$F$56*B83</f>
        <v/>
      </c>
      <c r="E83" s="10">
        <f>MIN(A83,$B$55)/$B$55*B83</f>
        <v/>
      </c>
    </row>
    <row r="84">
      <c r="A84" s="8" t="n">
        <v>25</v>
      </c>
      <c r="B84" s="9" t="n">
        <v>0</v>
      </c>
      <c r="C84" s="10">
        <f>A84*B84</f>
        <v/>
      </c>
      <c r="D84" s="10">
        <f>MIN(A84,$B$55)*$F$56*B84</f>
        <v/>
      </c>
      <c r="E84" s="10">
        <f>MIN(A84,$B$55)/$B$55*B84</f>
        <v/>
      </c>
    </row>
    <row r="85">
      <c r="A85" s="8" t="n">
        <v>26</v>
      </c>
      <c r="B85" s="9" t="n">
        <v>0</v>
      </c>
      <c r="C85" s="10">
        <f>A85*B85</f>
        <v/>
      </c>
      <c r="D85" s="10">
        <f>MIN(A85,$B$55)*$F$56*B85</f>
        <v/>
      </c>
      <c r="E85" s="10">
        <f>MIN(A85,$B$55)/$B$55*B85</f>
        <v/>
      </c>
    </row>
    <row r="86">
      <c r="A86" s="8" t="n">
        <v>27</v>
      </c>
      <c r="B86" s="9" t="n">
        <v>0</v>
      </c>
      <c r="C86" s="10">
        <f>A86*B86</f>
        <v/>
      </c>
      <c r="D86" s="10">
        <f>MIN(A86,$B$55)*$F$56*B86</f>
        <v/>
      </c>
      <c r="E86" s="10">
        <f>MIN(A86,$B$55)/$B$55*B86</f>
        <v/>
      </c>
    </row>
    <row r="87">
      <c r="A87" s="8" t="n">
        <v>28</v>
      </c>
      <c r="B87" s="9" t="n">
        <v>0</v>
      </c>
      <c r="C87" s="10">
        <f>A87*B87</f>
        <v/>
      </c>
      <c r="D87" s="10">
        <f>MIN(A87,$B$55)*$F$56*B87</f>
        <v/>
      </c>
      <c r="E87" s="10">
        <f>MIN(A87,$B$55)/$B$55*B87</f>
        <v/>
      </c>
    </row>
    <row r="88">
      <c r="A88" s="8" t="n">
        <v>29</v>
      </c>
      <c r="B88" s="9" t="n">
        <v>0</v>
      </c>
      <c r="C88" s="10">
        <f>A88*B88</f>
        <v/>
      </c>
      <c r="D88" s="10">
        <f>MIN(A88,$B$55)*$F$56*B88</f>
        <v/>
      </c>
      <c r="E88" s="10">
        <f>MIN(A88,$B$55)/$B$55*B88</f>
        <v/>
      </c>
    </row>
    <row r="89">
      <c r="A89" s="8" t="n">
        <v>30</v>
      </c>
      <c r="B89" s="9" t="n">
        <v>0</v>
      </c>
      <c r="C89" s="10">
        <f>A89*B89</f>
        <v/>
      </c>
      <c r="D89" s="10">
        <f>MIN(A89,$B$55)*$F$56*B89</f>
        <v/>
      </c>
      <c r="E89" s="10">
        <f>MIN(A89,$B$55)/$B$55*B89</f>
        <v/>
      </c>
    </row>
    <row r="90">
      <c r="A90" s="8" t="n">
        <v>31</v>
      </c>
      <c r="B90" s="9" t="n">
        <v>0</v>
      </c>
      <c r="C90" s="10">
        <f>A90*B90</f>
        <v/>
      </c>
      <c r="D90" s="10">
        <f>MIN(A90,$B$55)*$F$56*B90</f>
        <v/>
      </c>
      <c r="E90" s="10">
        <f>MIN(A90,$B$55)/$B$55*B90</f>
        <v/>
      </c>
    </row>
    <row r="91">
      <c r="A91" s="8" t="n">
        <v>32</v>
      </c>
      <c r="B91" s="9" t="n">
        <v>0</v>
      </c>
      <c r="C91" s="10">
        <f>A91*B91</f>
        <v/>
      </c>
      <c r="D91" s="10">
        <f>MIN(A91,$B$55)*$F$56*B91</f>
        <v/>
      </c>
      <c r="E91" s="10">
        <f>MIN(A91,$B$55)/$B$55*B91</f>
        <v/>
      </c>
    </row>
    <row r="92">
      <c r="A92" s="8" t="n">
        <v>33</v>
      </c>
      <c r="B92" s="9" t="n">
        <v>0</v>
      </c>
      <c r="C92" s="10">
        <f>A92*B92</f>
        <v/>
      </c>
      <c r="D92" s="10">
        <f>MIN(A92,$B$55)*$F$56*B92</f>
        <v/>
      </c>
      <c r="E92" s="10">
        <f>MIN(A92,$B$55)/$B$55*B92</f>
        <v/>
      </c>
    </row>
    <row r="93">
      <c r="A93" s="8" t="n">
        <v>34</v>
      </c>
      <c r="B93" s="9" t="n">
        <v>0</v>
      </c>
      <c r="C93" s="10">
        <f>A93*B93</f>
        <v/>
      </c>
      <c r="D93" s="10">
        <f>MIN(A93,$B$55)*$F$56*B93</f>
        <v/>
      </c>
      <c r="E93" s="10">
        <f>MIN(A93,$B$55)/$B$55*B93</f>
        <v/>
      </c>
    </row>
    <row r="94">
      <c r="A94" s="8" t="n">
        <v>35</v>
      </c>
      <c r="B94" s="9" t="n">
        <v>0</v>
      </c>
      <c r="C94" s="10">
        <f>A94*B94</f>
        <v/>
      </c>
      <c r="D94" s="10">
        <f>MIN(A94,$B$55)*$F$56*B94</f>
        <v/>
      </c>
      <c r="E94" s="10">
        <f>MIN(A94,$B$55)/$B$55*B94</f>
        <v/>
      </c>
    </row>
    <row r="95">
      <c r="A95" s="4" t="inlineStr">
        <is>
          <t>TOTAL</t>
        </is>
      </c>
      <c r="B95" s="11">
        <f>SUM(B59:B94)</f>
        <v/>
      </c>
      <c r="C95" s="11">
        <f>SUM(C59:C94)</f>
        <v/>
      </c>
      <c r="D95" s="11">
        <f>SUM(D59:D94)</f>
        <v/>
      </c>
      <c r="E95" s="11">
        <f>SUM(E59:E94)</f>
        <v/>
      </c>
    </row>
    <row r="96">
      <c r="A96" s="12" t="inlineStr"/>
      <c r="B96" s="12" t="inlineStr">
        <is>
          <t>Σ P(i)</t>
        </is>
      </c>
      <c r="C96" s="12" t="inlineStr">
        <is>
          <t>N — pop. média</t>
        </is>
      </c>
      <c r="D96" s="12" t="inlineStr">
        <is>
          <t>D — vazão (pac/h)</t>
        </is>
      </c>
      <c r="E96" s="12" t="inlineStr">
        <is>
          <t>U — utilização</t>
        </is>
      </c>
    </row>
    <row r="97">
      <c r="A97" s="4" t="inlineStr">
        <is>
          <t>W (h):</t>
        </is>
      </c>
      <c r="B97" s="10">
        <f>IF(D95&gt;0,C95/D95,0)</f>
        <v/>
      </c>
      <c r="C97" s="4" t="inlineStr">
        <is>
          <t>W (min):</t>
        </is>
      </c>
      <c r="D97" s="13">
        <f>B97*60</f>
        <v/>
      </c>
    </row>
    <row r="99">
      <c r="A99" s="3" t="inlineStr">
        <is>
          <t>Fila F3  —  G/G/2/12</t>
        </is>
      </c>
    </row>
    <row r="100">
      <c r="A100" s="4" t="inlineStr">
        <is>
          <t>Servidores (c):</t>
        </is>
      </c>
      <c r="B100" s="5" t="n">
        <v>2</v>
      </c>
      <c r="C100" s="4" t="inlineStr">
        <is>
          <t>Capacidade (K):</t>
        </is>
      </c>
      <c r="D100" s="5" t="n">
        <v>12</v>
      </c>
      <c r="E100" s="4" t="inlineStr">
        <is>
          <t>Perdas:</t>
        </is>
      </c>
      <c r="F100" s="5" t="n">
        <v>0</v>
      </c>
    </row>
    <row r="101">
      <c r="A101" s="4" t="inlineStr">
        <is>
          <t>t_min (min):</t>
        </is>
      </c>
      <c r="B101" s="5" t="n">
        <v>8</v>
      </c>
      <c r="C101" s="4" t="inlineStr">
        <is>
          <t>t_max (min):</t>
        </is>
      </c>
      <c r="D101" s="5" t="n">
        <v>18</v>
      </c>
      <c r="E101" s="4" t="inlineStr">
        <is>
          <t>μ (pac/h):</t>
        </is>
      </c>
      <c r="F101" s="6">
        <f>60/AVERAGE($B$101,$D$101)</f>
        <v/>
      </c>
    </row>
    <row r="103">
      <c r="A103" s="7" t="inlineStr">
        <is>
          <t>Estado (i)</t>
        </is>
      </c>
      <c r="B103" s="7" t="inlineStr">
        <is>
          <t>P(i)  [entrada]</t>
        </is>
      </c>
      <c r="C103" s="7" t="inlineStr">
        <is>
          <t>i · P(i)</t>
        </is>
      </c>
      <c r="D103" s="7" t="inlineStr">
        <is>
          <t>min(i,c)·μ·P(i)</t>
        </is>
      </c>
      <c r="E103" s="7" t="inlineStr">
        <is>
          <t>min(i,c)/c · P(i)</t>
        </is>
      </c>
    </row>
    <row r="104">
      <c r="A104" s="8" t="n">
        <v>0</v>
      </c>
      <c r="B104" s="9" t="n">
        <v>0.7347121238980295</v>
      </c>
      <c r="C104" s="10">
        <f>A104*B104</f>
        <v/>
      </c>
      <c r="D104" s="10">
        <f>MIN(A104,$B$100)*$F$101*B104</f>
        <v/>
      </c>
      <c r="E104" s="10">
        <f>MIN(A104,$B$100)/$B$100*B104</f>
        <v/>
      </c>
    </row>
    <row r="105">
      <c r="A105" s="8" t="n">
        <v>1</v>
      </c>
      <c r="B105" s="9" t="n">
        <v>0.2349065929822999</v>
      </c>
      <c r="C105" s="10">
        <f>A105*B105</f>
        <v/>
      </c>
      <c r="D105" s="10">
        <f>MIN(A105,$B$100)*$F$101*B105</f>
        <v/>
      </c>
      <c r="E105" s="10">
        <f>MIN(A105,$B$100)/$B$100*B105</f>
        <v/>
      </c>
    </row>
    <row r="106">
      <c r="A106" s="8" t="n">
        <v>2</v>
      </c>
      <c r="B106" s="9" t="n">
        <v>0.02880995272546177</v>
      </c>
      <c r="C106" s="10">
        <f>A106*B106</f>
        <v/>
      </c>
      <c r="D106" s="10">
        <f>MIN(A106,$B$100)*$F$101*B106</f>
        <v/>
      </c>
      <c r="E106" s="10">
        <f>MIN(A106,$B$100)/$B$100*B106</f>
        <v/>
      </c>
    </row>
    <row r="107">
      <c r="A107" s="8" t="n">
        <v>3</v>
      </c>
      <c r="B107" s="9" t="n">
        <v>0.001569033409258758</v>
      </c>
      <c r="C107" s="10">
        <f>A107*B107</f>
        <v/>
      </c>
      <c r="D107" s="10">
        <f>MIN(A107,$B$100)*$F$101*B107</f>
        <v/>
      </c>
      <c r="E107" s="10">
        <f>MIN(A107,$B$100)/$B$100*B107</f>
        <v/>
      </c>
    </row>
    <row r="108">
      <c r="A108" s="8" t="n">
        <v>4</v>
      </c>
      <c r="B108" s="9" t="n">
        <v>2.296984950009812e-06</v>
      </c>
      <c r="C108" s="10">
        <f>A108*B108</f>
        <v/>
      </c>
      <c r="D108" s="10">
        <f>MIN(A108,$B$100)*$F$101*B108</f>
        <v/>
      </c>
      <c r="E108" s="10">
        <f>MIN(A108,$B$100)/$B$100*B108</f>
        <v/>
      </c>
    </row>
    <row r="109">
      <c r="A109" s="8" t="n">
        <v>5</v>
      </c>
      <c r="B109" s="9" t="n">
        <v>0</v>
      </c>
      <c r="C109" s="10">
        <f>A109*B109</f>
        <v/>
      </c>
      <c r="D109" s="10">
        <f>MIN(A109,$B$100)*$F$101*B109</f>
        <v/>
      </c>
      <c r="E109" s="10">
        <f>MIN(A109,$B$100)/$B$100*B109</f>
        <v/>
      </c>
    </row>
    <row r="110">
      <c r="A110" s="8" t="n">
        <v>6</v>
      </c>
      <c r="B110" s="9" t="n">
        <v>0</v>
      </c>
      <c r="C110" s="10">
        <f>A110*B110</f>
        <v/>
      </c>
      <c r="D110" s="10">
        <f>MIN(A110,$B$100)*$F$101*B110</f>
        <v/>
      </c>
      <c r="E110" s="10">
        <f>MIN(A110,$B$100)/$B$100*B110</f>
        <v/>
      </c>
    </row>
    <row r="111">
      <c r="A111" s="8" t="n">
        <v>7</v>
      </c>
      <c r="B111" s="9" t="n">
        <v>0</v>
      </c>
      <c r="C111" s="10">
        <f>A111*B111</f>
        <v/>
      </c>
      <c r="D111" s="10">
        <f>MIN(A111,$B$100)*$F$101*B111</f>
        <v/>
      </c>
      <c r="E111" s="10">
        <f>MIN(A111,$B$100)/$B$100*B111</f>
        <v/>
      </c>
    </row>
    <row r="112">
      <c r="A112" s="8" t="n">
        <v>8</v>
      </c>
      <c r="B112" s="9" t="n">
        <v>0</v>
      </c>
      <c r="C112" s="10">
        <f>A112*B112</f>
        <v/>
      </c>
      <c r="D112" s="10">
        <f>MIN(A112,$B$100)*$F$101*B112</f>
        <v/>
      </c>
      <c r="E112" s="10">
        <f>MIN(A112,$B$100)/$B$100*B112</f>
        <v/>
      </c>
    </row>
    <row r="113">
      <c r="A113" s="8" t="n">
        <v>9</v>
      </c>
      <c r="B113" s="9" t="n">
        <v>0</v>
      </c>
      <c r="C113" s="10">
        <f>A113*B113</f>
        <v/>
      </c>
      <c r="D113" s="10">
        <f>MIN(A113,$B$100)*$F$101*B113</f>
        <v/>
      </c>
      <c r="E113" s="10">
        <f>MIN(A113,$B$100)/$B$100*B113</f>
        <v/>
      </c>
    </row>
    <row r="114">
      <c r="A114" s="8" t="n">
        <v>10</v>
      </c>
      <c r="B114" s="9" t="n">
        <v>0</v>
      </c>
      <c r="C114" s="10">
        <f>A114*B114</f>
        <v/>
      </c>
      <c r="D114" s="10">
        <f>MIN(A114,$B$100)*$F$101*B114</f>
        <v/>
      </c>
      <c r="E114" s="10">
        <f>MIN(A114,$B$100)/$B$100*B114</f>
        <v/>
      </c>
    </row>
    <row r="115">
      <c r="A115" s="8" t="n">
        <v>11</v>
      </c>
      <c r="B115" s="9" t="n">
        <v>0</v>
      </c>
      <c r="C115" s="10">
        <f>A115*B115</f>
        <v/>
      </c>
      <c r="D115" s="10">
        <f>MIN(A115,$B$100)*$F$101*B115</f>
        <v/>
      </c>
      <c r="E115" s="10">
        <f>MIN(A115,$B$100)/$B$100*B115</f>
        <v/>
      </c>
    </row>
    <row r="116">
      <c r="A116" s="8" t="n">
        <v>12</v>
      </c>
      <c r="B116" s="9" t="n">
        <v>0</v>
      </c>
      <c r="C116" s="10">
        <f>A116*B116</f>
        <v/>
      </c>
      <c r="D116" s="10">
        <f>MIN(A116,$B$100)*$F$101*B116</f>
        <v/>
      </c>
      <c r="E116" s="10">
        <f>MIN(A116,$B$100)/$B$100*B116</f>
        <v/>
      </c>
    </row>
    <row r="117">
      <c r="A117" s="4" t="inlineStr">
        <is>
          <t>TOTAL</t>
        </is>
      </c>
      <c r="B117" s="11">
        <f>SUM(B104:B116)</f>
        <v/>
      </c>
      <c r="C117" s="11">
        <f>SUM(C104:C116)</f>
        <v/>
      </c>
      <c r="D117" s="11">
        <f>SUM(D104:D116)</f>
        <v/>
      </c>
      <c r="E117" s="11">
        <f>SUM(E104:E116)</f>
        <v/>
      </c>
    </row>
    <row r="118">
      <c r="A118" s="12" t="inlineStr"/>
      <c r="B118" s="12" t="inlineStr">
        <is>
          <t>Σ P(i)</t>
        </is>
      </c>
      <c r="C118" s="12" t="inlineStr">
        <is>
          <t>N — pop. média</t>
        </is>
      </c>
      <c r="D118" s="12" t="inlineStr">
        <is>
          <t>D — vazão (pac/h)</t>
        </is>
      </c>
      <c r="E118" s="12" t="inlineStr">
        <is>
          <t>U — utilização</t>
        </is>
      </c>
    </row>
    <row r="119">
      <c r="A119" s="4" t="inlineStr">
        <is>
          <t>W (h):</t>
        </is>
      </c>
      <c r="B119" s="10">
        <f>IF(D117&gt;0,C117/D117,0)</f>
        <v/>
      </c>
      <c r="C119" s="4" t="inlineStr">
        <is>
          <t>W (min):</t>
        </is>
      </c>
      <c r="D119" s="13">
        <f>B119*60</f>
        <v/>
      </c>
    </row>
    <row r="121">
      <c r="A121" s="3" t="inlineStr">
        <is>
          <t>Fila F4  —  G/G/1/20</t>
        </is>
      </c>
    </row>
    <row r="122">
      <c r="A122" s="4" t="inlineStr">
        <is>
          <t>Servidores (c):</t>
        </is>
      </c>
      <c r="B122" s="5" t="n">
        <v>1</v>
      </c>
      <c r="C122" s="4" t="inlineStr">
        <is>
          <t>Capacidade (K):</t>
        </is>
      </c>
      <c r="D122" s="5" t="n">
        <v>20</v>
      </c>
      <c r="E122" s="4" t="inlineStr">
        <is>
          <t>Perdas:</t>
        </is>
      </c>
      <c r="F122" s="5" t="n">
        <v>0</v>
      </c>
    </row>
    <row r="123">
      <c r="A123" s="4" t="inlineStr">
        <is>
          <t>t_min (min):</t>
        </is>
      </c>
      <c r="B123" s="5" t="n">
        <v>3</v>
      </c>
      <c r="C123" s="4" t="inlineStr">
        <is>
          <t>t_max (min):</t>
        </is>
      </c>
      <c r="D123" s="5" t="n">
        <v>7</v>
      </c>
      <c r="E123" s="4" t="inlineStr">
        <is>
          <t>μ (pac/h):</t>
        </is>
      </c>
      <c r="F123" s="6">
        <f>60/AVERAGE($B$123,$D$123)</f>
        <v/>
      </c>
    </row>
    <row r="125">
      <c r="A125" s="7" t="inlineStr">
        <is>
          <t>Estado (i)</t>
        </is>
      </c>
      <c r="B125" s="7" t="inlineStr">
        <is>
          <t>P(i)  [entrada]</t>
        </is>
      </c>
      <c r="C125" s="7" t="inlineStr">
        <is>
          <t>i · P(i)</t>
        </is>
      </c>
      <c r="D125" s="7" t="inlineStr">
        <is>
          <t>min(i,c)·μ·P(i)</t>
        </is>
      </c>
      <c r="E125" s="7" t="inlineStr">
        <is>
          <t>min(i,c)/c · P(i)</t>
        </is>
      </c>
    </row>
    <row r="126">
      <c r="A126" s="8" t="n">
        <v>0</v>
      </c>
      <c r="B126" s="9" t="n">
        <v>0.9360035409748944</v>
      </c>
      <c r="C126" s="10">
        <f>A126*B126</f>
        <v/>
      </c>
      <c r="D126" s="10">
        <f>MIN(A126,$B$122)*$F$123*B126</f>
        <v/>
      </c>
      <c r="E126" s="10">
        <f>MIN(A126,$B$122)/$B$122*B126</f>
        <v/>
      </c>
    </row>
    <row r="127">
      <c r="A127" s="8" t="n">
        <v>1</v>
      </c>
      <c r="B127" s="9" t="n">
        <v>0.06225268960624959</v>
      </c>
      <c r="C127" s="10">
        <f>A127*B127</f>
        <v/>
      </c>
      <c r="D127" s="10">
        <f>MIN(A127,$B$122)*$F$123*B127</f>
        <v/>
      </c>
      <c r="E127" s="10">
        <f>MIN(A127,$B$122)/$B$122*B127</f>
        <v/>
      </c>
    </row>
    <row r="128">
      <c r="A128" s="8" t="n">
        <v>2</v>
      </c>
      <c r="B128" s="9" t="n">
        <v>0.001743769418856035</v>
      </c>
      <c r="C128" s="10">
        <f>A128*B128</f>
        <v/>
      </c>
      <c r="D128" s="10">
        <f>MIN(A128,$B$122)*$F$123*B128</f>
        <v/>
      </c>
      <c r="E128" s="10">
        <f>MIN(A128,$B$122)/$B$122*B128</f>
        <v/>
      </c>
    </row>
    <row r="129">
      <c r="A129" s="8" t="n">
        <v>3</v>
      </c>
      <c r="B129" s="9" t="n">
        <v>0</v>
      </c>
      <c r="C129" s="10">
        <f>A129*B129</f>
        <v/>
      </c>
      <c r="D129" s="10">
        <f>MIN(A129,$B$122)*$F$123*B129</f>
        <v/>
      </c>
      <c r="E129" s="10">
        <f>MIN(A129,$B$122)/$B$122*B129</f>
        <v/>
      </c>
    </row>
    <row r="130">
      <c r="A130" s="8" t="n">
        <v>4</v>
      </c>
      <c r="B130" s="9" t="n">
        <v>0</v>
      </c>
      <c r="C130" s="10">
        <f>A130*B130</f>
        <v/>
      </c>
      <c r="D130" s="10">
        <f>MIN(A130,$B$122)*$F$123*B130</f>
        <v/>
      </c>
      <c r="E130" s="10">
        <f>MIN(A130,$B$122)/$B$122*B130</f>
        <v/>
      </c>
    </row>
    <row r="131">
      <c r="A131" s="8" t="n">
        <v>5</v>
      </c>
      <c r="B131" s="9" t="n">
        <v>0</v>
      </c>
      <c r="C131" s="10">
        <f>A131*B131</f>
        <v/>
      </c>
      <c r="D131" s="10">
        <f>MIN(A131,$B$122)*$F$123*B131</f>
        <v/>
      </c>
      <c r="E131" s="10">
        <f>MIN(A131,$B$122)/$B$122*B131</f>
        <v/>
      </c>
    </row>
    <row r="132">
      <c r="A132" s="8" t="n">
        <v>6</v>
      </c>
      <c r="B132" s="9" t="n">
        <v>0</v>
      </c>
      <c r="C132" s="10">
        <f>A132*B132</f>
        <v/>
      </c>
      <c r="D132" s="10">
        <f>MIN(A132,$B$122)*$F$123*B132</f>
        <v/>
      </c>
      <c r="E132" s="10">
        <f>MIN(A132,$B$122)/$B$122*B132</f>
        <v/>
      </c>
    </row>
    <row r="133">
      <c r="A133" s="8" t="n">
        <v>7</v>
      </c>
      <c r="B133" s="9" t="n">
        <v>0</v>
      </c>
      <c r="C133" s="10">
        <f>A133*B133</f>
        <v/>
      </c>
      <c r="D133" s="10">
        <f>MIN(A133,$B$122)*$F$123*B133</f>
        <v/>
      </c>
      <c r="E133" s="10">
        <f>MIN(A133,$B$122)/$B$122*B133</f>
        <v/>
      </c>
    </row>
    <row r="134">
      <c r="A134" s="8" t="n">
        <v>8</v>
      </c>
      <c r="B134" s="9" t="n">
        <v>0</v>
      </c>
      <c r="C134" s="10">
        <f>A134*B134</f>
        <v/>
      </c>
      <c r="D134" s="10">
        <f>MIN(A134,$B$122)*$F$123*B134</f>
        <v/>
      </c>
      <c r="E134" s="10">
        <f>MIN(A134,$B$122)/$B$122*B134</f>
        <v/>
      </c>
    </row>
    <row r="135">
      <c r="A135" s="8" t="n">
        <v>9</v>
      </c>
      <c r="B135" s="9" t="n">
        <v>0</v>
      </c>
      <c r="C135" s="10">
        <f>A135*B135</f>
        <v/>
      </c>
      <c r="D135" s="10">
        <f>MIN(A135,$B$122)*$F$123*B135</f>
        <v/>
      </c>
      <c r="E135" s="10">
        <f>MIN(A135,$B$122)/$B$122*B135</f>
        <v/>
      </c>
    </row>
    <row r="136">
      <c r="A136" s="8" t="n">
        <v>10</v>
      </c>
      <c r="B136" s="9" t="n">
        <v>0</v>
      </c>
      <c r="C136" s="10">
        <f>A136*B136</f>
        <v/>
      </c>
      <c r="D136" s="10">
        <f>MIN(A136,$B$122)*$F$123*B136</f>
        <v/>
      </c>
      <c r="E136" s="10">
        <f>MIN(A136,$B$122)/$B$122*B136</f>
        <v/>
      </c>
    </row>
    <row r="137">
      <c r="A137" s="8" t="n">
        <v>11</v>
      </c>
      <c r="B137" s="9" t="n">
        <v>0</v>
      </c>
      <c r="C137" s="10">
        <f>A137*B137</f>
        <v/>
      </c>
      <c r="D137" s="10">
        <f>MIN(A137,$B$122)*$F$123*B137</f>
        <v/>
      </c>
      <c r="E137" s="10">
        <f>MIN(A137,$B$122)/$B$122*B137</f>
        <v/>
      </c>
    </row>
    <row r="138">
      <c r="A138" s="8" t="n">
        <v>12</v>
      </c>
      <c r="B138" s="9" t="n">
        <v>0</v>
      </c>
      <c r="C138" s="10">
        <f>A138*B138</f>
        <v/>
      </c>
      <c r="D138" s="10">
        <f>MIN(A138,$B$122)*$F$123*B138</f>
        <v/>
      </c>
      <c r="E138" s="10">
        <f>MIN(A138,$B$122)/$B$122*B138</f>
        <v/>
      </c>
    </row>
    <row r="139">
      <c r="A139" s="8" t="n">
        <v>13</v>
      </c>
      <c r="B139" s="9" t="n">
        <v>0</v>
      </c>
      <c r="C139" s="10">
        <f>A139*B139</f>
        <v/>
      </c>
      <c r="D139" s="10">
        <f>MIN(A139,$B$122)*$F$123*B139</f>
        <v/>
      </c>
      <c r="E139" s="10">
        <f>MIN(A139,$B$122)/$B$122*B139</f>
        <v/>
      </c>
    </row>
    <row r="140">
      <c r="A140" s="8" t="n">
        <v>14</v>
      </c>
      <c r="B140" s="9" t="n">
        <v>0</v>
      </c>
      <c r="C140" s="10">
        <f>A140*B140</f>
        <v/>
      </c>
      <c r="D140" s="10">
        <f>MIN(A140,$B$122)*$F$123*B140</f>
        <v/>
      </c>
      <c r="E140" s="10">
        <f>MIN(A140,$B$122)/$B$122*B140</f>
        <v/>
      </c>
    </row>
    <row r="141">
      <c r="A141" s="8" t="n">
        <v>15</v>
      </c>
      <c r="B141" s="9" t="n">
        <v>0</v>
      </c>
      <c r="C141" s="10">
        <f>A141*B141</f>
        <v/>
      </c>
      <c r="D141" s="10">
        <f>MIN(A141,$B$122)*$F$123*B141</f>
        <v/>
      </c>
      <c r="E141" s="10">
        <f>MIN(A141,$B$122)/$B$122*B141</f>
        <v/>
      </c>
    </row>
    <row r="142">
      <c r="A142" s="8" t="n">
        <v>16</v>
      </c>
      <c r="B142" s="9" t="n">
        <v>0</v>
      </c>
      <c r="C142" s="10">
        <f>A142*B142</f>
        <v/>
      </c>
      <c r="D142" s="10">
        <f>MIN(A142,$B$122)*$F$123*B142</f>
        <v/>
      </c>
      <c r="E142" s="10">
        <f>MIN(A142,$B$122)/$B$122*B142</f>
        <v/>
      </c>
    </row>
    <row r="143">
      <c r="A143" s="8" t="n">
        <v>17</v>
      </c>
      <c r="B143" s="9" t="n">
        <v>0</v>
      </c>
      <c r="C143" s="10">
        <f>A143*B143</f>
        <v/>
      </c>
      <c r="D143" s="10">
        <f>MIN(A143,$B$122)*$F$123*B143</f>
        <v/>
      </c>
      <c r="E143" s="10">
        <f>MIN(A143,$B$122)/$B$122*B143</f>
        <v/>
      </c>
    </row>
    <row r="144">
      <c r="A144" s="8" t="n">
        <v>18</v>
      </c>
      <c r="B144" s="9" t="n">
        <v>0</v>
      </c>
      <c r="C144" s="10">
        <f>A144*B144</f>
        <v/>
      </c>
      <c r="D144" s="10">
        <f>MIN(A144,$B$122)*$F$123*B144</f>
        <v/>
      </c>
      <c r="E144" s="10">
        <f>MIN(A144,$B$122)/$B$122*B144</f>
        <v/>
      </c>
    </row>
    <row r="145">
      <c r="A145" s="8" t="n">
        <v>19</v>
      </c>
      <c r="B145" s="9" t="n">
        <v>0</v>
      </c>
      <c r="C145" s="10">
        <f>A145*B145</f>
        <v/>
      </c>
      <c r="D145" s="10">
        <f>MIN(A145,$B$122)*$F$123*B145</f>
        <v/>
      </c>
      <c r="E145" s="10">
        <f>MIN(A145,$B$122)/$B$122*B145</f>
        <v/>
      </c>
    </row>
    <row r="146">
      <c r="A146" s="8" t="n">
        <v>20</v>
      </c>
      <c r="B146" s="9" t="n">
        <v>0</v>
      </c>
      <c r="C146" s="10">
        <f>A146*B146</f>
        <v/>
      </c>
      <c r="D146" s="10">
        <f>MIN(A146,$B$122)*$F$123*B146</f>
        <v/>
      </c>
      <c r="E146" s="10">
        <f>MIN(A146,$B$122)/$B$122*B146</f>
        <v/>
      </c>
    </row>
    <row r="147">
      <c r="A147" s="4" t="inlineStr">
        <is>
          <t>TOTAL</t>
        </is>
      </c>
      <c r="B147" s="11">
        <f>SUM(B126:B146)</f>
        <v/>
      </c>
      <c r="C147" s="11">
        <f>SUM(C126:C146)</f>
        <v/>
      </c>
      <c r="D147" s="11">
        <f>SUM(D126:D146)</f>
        <v/>
      </c>
      <c r="E147" s="11">
        <f>SUM(E126:E146)</f>
        <v/>
      </c>
    </row>
    <row r="148">
      <c r="A148" s="12" t="inlineStr"/>
      <c r="B148" s="12" t="inlineStr">
        <is>
          <t>Σ P(i)</t>
        </is>
      </c>
      <c r="C148" s="12" t="inlineStr">
        <is>
          <t>N — pop. média</t>
        </is>
      </c>
      <c r="D148" s="12" t="inlineStr">
        <is>
          <t>D — vazão (pac/h)</t>
        </is>
      </c>
      <c r="E148" s="12" t="inlineStr">
        <is>
          <t>U — utilização</t>
        </is>
      </c>
    </row>
    <row r="149">
      <c r="A149" s="4" t="inlineStr">
        <is>
          <t>W (h):</t>
        </is>
      </c>
      <c r="B149" s="10">
        <f>IF(D147&gt;0,C147/D147,0)</f>
        <v/>
      </c>
      <c r="C149" s="4" t="inlineStr">
        <is>
          <t>W (min):</t>
        </is>
      </c>
      <c r="D149" s="13">
        <f>B149*60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Comparação — Modelo Atual vs. Modelo Melhoria</t>
        </is>
      </c>
    </row>
    <row r="3">
      <c r="A3" s="3" t="inlineStr">
        <is>
          <t>Fila F1</t>
        </is>
      </c>
    </row>
    <row r="4">
      <c r="A4" s="7" t="inlineStr">
        <is>
          <t>Índice</t>
        </is>
      </c>
      <c r="B4" s="7" t="inlineStr">
        <is>
          <t>Modelo Atual</t>
        </is>
      </c>
      <c r="C4" s="7" t="inlineStr">
        <is>
          <t>Modelo Melhoria</t>
        </is>
      </c>
      <c r="D4" s="7" t="inlineStr">
        <is>
          <t>Variação (%)</t>
        </is>
      </c>
    </row>
    <row r="5">
      <c r="A5" s="8" t="inlineStr">
        <is>
          <t>N  (pop. média)</t>
        </is>
      </c>
      <c r="B5" s="14" t="n">
        <v>39.9503</v>
      </c>
      <c r="C5" s="14" t="n">
        <v>39.9018</v>
      </c>
      <c r="D5" s="15" t="n">
        <v>-0.001214008405443691</v>
      </c>
    </row>
    <row r="6">
      <c r="A6" s="8" t="inlineStr">
        <is>
          <t>D  (vazão, pac/h)</t>
        </is>
      </c>
      <c r="B6" s="14" t="n">
        <v>3</v>
      </c>
      <c r="C6" s="14" t="n">
        <v>5.9999</v>
      </c>
      <c r="D6" s="15" t="n">
        <v>0.9999666666666668</v>
      </c>
    </row>
    <row r="7">
      <c r="A7" s="8" t="inlineStr">
        <is>
          <t>U  (utilização %)</t>
        </is>
      </c>
      <c r="B7" s="14" t="n">
        <v>100</v>
      </c>
      <c r="C7" s="14" t="n">
        <v>100</v>
      </c>
      <c r="D7" s="15" t="n">
        <v>0</v>
      </c>
    </row>
    <row r="8">
      <c r="A8" s="8" t="inlineStr">
        <is>
          <t>W  (horas)</t>
        </is>
      </c>
      <c r="B8" s="14" t="n">
        <v>13.3169</v>
      </c>
      <c r="C8" s="14" t="n">
        <v>6.6504</v>
      </c>
      <c r="D8" s="15" t="n">
        <v>-0.5006044950401369</v>
      </c>
    </row>
    <row r="9">
      <c r="A9" s="8" t="inlineStr">
        <is>
          <t>W  (minutos)</t>
        </is>
      </c>
      <c r="B9" s="14" t="n">
        <v>799.01</v>
      </c>
      <c r="C9" s="14" t="n">
        <v>399.03</v>
      </c>
      <c r="D9" s="15" t="n">
        <v>-0.5005944856760242</v>
      </c>
    </row>
    <row r="10">
      <c r="A10" s="8" t="inlineStr">
        <is>
          <t>Perdas</t>
        </is>
      </c>
      <c r="B10" s="14" t="n">
        <v>72527</v>
      </c>
      <c r="C10" s="14" t="n">
        <v>54425</v>
      </c>
      <c r="D10" s="15" t="n">
        <v>-0.2495898079335971</v>
      </c>
    </row>
    <row r="12">
      <c r="A12" s="3" t="inlineStr">
        <is>
          <t>Fila F2</t>
        </is>
      </c>
    </row>
    <row r="13">
      <c r="A13" s="7" t="inlineStr">
        <is>
          <t>Índice</t>
        </is>
      </c>
      <c r="B13" s="7" t="inlineStr">
        <is>
          <t>Modelo Atual</t>
        </is>
      </c>
      <c r="C13" s="7" t="inlineStr">
        <is>
          <t>Modelo Melhoria</t>
        </is>
      </c>
      <c r="D13" s="7" t="inlineStr">
        <is>
          <t>Variação (%)</t>
        </is>
      </c>
    </row>
    <row r="14">
      <c r="A14" s="8" t="inlineStr">
        <is>
          <t>N  (pop. média)</t>
        </is>
      </c>
      <c r="B14" s="14" t="n">
        <v>0.871</v>
      </c>
      <c r="C14" s="14" t="n">
        <v>2.8389</v>
      </c>
      <c r="D14" s="15" t="n">
        <v>2.259357060849598</v>
      </c>
    </row>
    <row r="15">
      <c r="A15" s="8" t="inlineStr">
        <is>
          <t>D  (vazão, pac/h)</t>
        </is>
      </c>
      <c r="B15" s="14" t="n">
        <v>1.8748</v>
      </c>
      <c r="C15" s="14" t="n">
        <v>3.7693</v>
      </c>
      <c r="D15" s="15" t="n">
        <v>1.010507787497333</v>
      </c>
    </row>
    <row r="16">
      <c r="A16" s="8" t="inlineStr">
        <is>
          <t>U  (utilização %)</t>
        </is>
      </c>
      <c r="B16" s="14" t="n">
        <v>42.96</v>
      </c>
      <c r="C16" s="14" t="n">
        <v>86.38</v>
      </c>
      <c r="D16" s="15" t="n">
        <v>1.010707635009311</v>
      </c>
    </row>
    <row r="17">
      <c r="A17" s="8" t="inlineStr">
        <is>
          <t>W  (horas)</t>
        </is>
      </c>
      <c r="B17" s="14" t="n">
        <v>0.4646</v>
      </c>
      <c r="C17" s="14" t="n">
        <v>0.7532</v>
      </c>
      <c r="D17" s="15" t="n">
        <v>0.6211795092552733</v>
      </c>
    </row>
    <row r="18">
      <c r="A18" s="8" t="inlineStr">
        <is>
          <t>W  (minutos)</t>
        </is>
      </c>
      <c r="B18" s="14" t="n">
        <v>27.88</v>
      </c>
      <c r="C18" s="14" t="n">
        <v>45.19</v>
      </c>
      <c r="D18" s="15" t="n">
        <v>0.6208751793400287</v>
      </c>
    </row>
    <row r="19">
      <c r="A19" s="8" t="inlineStr">
        <is>
          <t>Perdas</t>
        </is>
      </c>
      <c r="B19" s="14" t="n">
        <v>0</v>
      </c>
      <c r="C19" s="14" t="n">
        <v>0</v>
      </c>
      <c r="D19" s="8" t="inlineStr">
        <is>
          <t>—</t>
        </is>
      </c>
    </row>
    <row r="21">
      <c r="A21" s="3" t="inlineStr">
        <is>
          <t>Fila F3</t>
        </is>
      </c>
    </row>
    <row r="22">
      <c r="A22" s="7" t="inlineStr">
        <is>
          <t>Índice</t>
        </is>
      </c>
      <c r="B22" s="7" t="inlineStr">
        <is>
          <t>Modelo Atual</t>
        </is>
      </c>
      <c r="C22" s="7" t="inlineStr">
        <is>
          <t>Modelo Melhoria</t>
        </is>
      </c>
      <c r="D22" s="7" t="inlineStr">
        <is>
          <t>Variação (%)</t>
        </is>
      </c>
    </row>
    <row r="23">
      <c r="A23" s="8" t="inlineStr">
        <is>
          <t>N  (pop. média)</t>
        </is>
      </c>
      <c r="B23" s="14" t="n">
        <v>0.1583</v>
      </c>
      <c r="C23" s="14" t="n">
        <v>0.2972</v>
      </c>
      <c r="D23" s="15" t="n">
        <v>0.8774478837650034</v>
      </c>
    </row>
    <row r="24">
      <c r="A24" s="8" t="inlineStr">
        <is>
          <t>D  (vazão, pac/h)</t>
        </is>
      </c>
      <c r="B24" s="14" t="n">
        <v>0.6938</v>
      </c>
      <c r="C24" s="14" t="n">
        <v>1.3646</v>
      </c>
      <c r="D24" s="15" t="n">
        <v>0.9668492360910926</v>
      </c>
    </row>
    <row r="25">
      <c r="A25" s="8" t="inlineStr">
        <is>
          <t>U  (utilização %)</t>
        </is>
      </c>
      <c r="B25" s="14" t="n">
        <v>15.03</v>
      </c>
      <c r="C25" s="14" t="n">
        <v>14.78</v>
      </c>
      <c r="D25" s="15" t="n">
        <v>-0.0166333998669328</v>
      </c>
    </row>
    <row r="26">
      <c r="A26" s="8" t="inlineStr">
        <is>
          <t>W  (horas)</t>
        </is>
      </c>
      <c r="B26" s="14" t="n">
        <v>0.2281</v>
      </c>
      <c r="C26" s="14" t="n">
        <v>0.2178</v>
      </c>
      <c r="D26" s="15" t="n">
        <v>-0.04515563349408156</v>
      </c>
    </row>
    <row r="27">
      <c r="A27" s="8" t="inlineStr">
        <is>
          <t>W  (minutos)</t>
        </is>
      </c>
      <c r="B27" s="14" t="n">
        <v>13.69</v>
      </c>
      <c r="C27" s="14" t="n">
        <v>13.07</v>
      </c>
      <c r="D27" s="15" t="n">
        <v>-0.04528853177501821</v>
      </c>
    </row>
    <row r="28">
      <c r="A28" s="8" t="inlineStr">
        <is>
          <t>Perdas</t>
        </is>
      </c>
      <c r="B28" s="14" t="n">
        <v>0</v>
      </c>
      <c r="C28" s="14" t="n">
        <v>0</v>
      </c>
      <c r="D28" s="8" t="inlineStr">
        <is>
          <t>—</t>
        </is>
      </c>
    </row>
    <row r="30">
      <c r="A30" s="3" t="inlineStr">
        <is>
          <t>Fila F4</t>
        </is>
      </c>
    </row>
    <row r="31">
      <c r="A31" s="7" t="inlineStr">
        <is>
          <t>Índice</t>
        </is>
      </c>
      <c r="B31" s="7" t="inlineStr">
        <is>
          <t>Modelo Atual</t>
        </is>
      </c>
      <c r="C31" s="7" t="inlineStr">
        <is>
          <t>Modelo Melhoria</t>
        </is>
      </c>
      <c r="D31" s="7" t="inlineStr">
        <is>
          <t>Variação (%)</t>
        </is>
      </c>
    </row>
    <row r="32">
      <c r="A32" s="8" t="inlineStr">
        <is>
          <t>N  (pop. média)</t>
        </is>
      </c>
      <c r="B32" s="14" t="n">
        <v>0.0323</v>
      </c>
      <c r="C32" s="14" t="n">
        <v>0.06569999999999999</v>
      </c>
      <c r="D32" s="15" t="n">
        <v>1.034055727554179</v>
      </c>
    </row>
    <row r="33">
      <c r="A33" s="8" t="inlineStr">
        <is>
          <t>D  (vazão, pac/h)</t>
        </is>
      </c>
      <c r="B33" s="14" t="n">
        <v>0.3826</v>
      </c>
      <c r="C33" s="14" t="n">
        <v>0.768</v>
      </c>
      <c r="D33" s="15" t="n">
        <v>1.007318348144276</v>
      </c>
    </row>
    <row r="34">
      <c r="A34" s="8" t="inlineStr">
        <is>
          <t>U  (utilização %)</t>
        </is>
      </c>
      <c r="B34" s="14" t="n">
        <v>3.19</v>
      </c>
      <c r="C34" s="14" t="n">
        <v>6.4</v>
      </c>
      <c r="D34" s="15" t="n">
        <v>1.006269592476489</v>
      </c>
    </row>
    <row r="35">
      <c r="A35" s="8" t="inlineStr">
        <is>
          <t>W  (horas)</t>
        </is>
      </c>
      <c r="B35" s="14" t="n">
        <v>0.0843</v>
      </c>
      <c r="C35" s="14" t="n">
        <v>0.0856</v>
      </c>
      <c r="D35" s="15" t="n">
        <v>0.01542111506524313</v>
      </c>
    </row>
    <row r="36">
      <c r="A36" s="8" t="inlineStr">
        <is>
          <t>W  (minutos)</t>
        </is>
      </c>
      <c r="B36" s="14" t="n">
        <v>5.06</v>
      </c>
      <c r="C36" s="14" t="n">
        <v>5.14</v>
      </c>
      <c r="D36" s="15" t="n">
        <v>0.01581027667984191</v>
      </c>
    </row>
    <row r="37">
      <c r="A37" s="8" t="inlineStr">
        <is>
          <t>Perdas</t>
        </is>
      </c>
      <c r="B37" s="14" t="n">
        <v>0</v>
      </c>
      <c r="C37" s="14" t="n">
        <v>0</v>
      </c>
      <c r="D37" s="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2026-05-12T22:09:55Z</dcterms:created>
  <dcterms:modified xmlns:dcterms="http://purl.org/dc/terms/" xmlns:xsi="http://www.w3.org/2001/XMLSchema-instance" xsi:type="dcterms:W3CDTF">2026-05-12T22:09:55Z</dcterms:modified>
</cp:coreProperties>
</file>